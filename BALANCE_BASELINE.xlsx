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ee1207b6b14e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Buildings" sheetId="1" r:id="R078dfd7c89d74703"/>
    <x:sheet xmlns:r="http://schemas.openxmlformats.org/officeDocument/2006/relationships" name="H0 Buildings" sheetId="2" r:id="Rbd36ca0768514668"/>
    <x:sheet xmlns:r="http://schemas.openxmlformats.org/officeDocument/2006/relationships" name="Session Curve" sheetId="3" r:id="R47308ec5f1d24aca"/>
    <x:sheet xmlns:r="http://schemas.openxmlformats.org/officeDocument/2006/relationships" name="Project Chain" sheetId="4" r:id="R082e6442824d4ca1"/>
    <x:sheet xmlns:r="http://schemas.openxmlformats.org/officeDocument/2006/relationships" name="Economy H0" sheetId="5" r:id="R39d691353cdb484b"/>
    <x:sheet xmlns:r="http://schemas.openxmlformats.org/officeDocument/2006/relationships" name="Checks" sheetId="6" r:id="R84c825567de740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#,##0.00"/>
    <x:numFmt numFmtId="202" formatCode="0.000000%"/>
    <x:numFmt numFmtId="203" formatCode="0.0%"/>
    <x:numFmt numFmtId="204" formatCode="0.000"/>
    <x:numFmt numFmtId="205" formatCode="0.00"/>
  </x:numFmts>
  <x:fonts count="5">
    <x:font>
      <x:sz val="11"/>
      <x:name val="Carlito"/>
    </x:font>
    <x:font>
      <x:b/>
      <x:sz val="16"/>
      <x:color rgb="FF172033"/>
      <x:name val="Arial"/>
    </x:font>
    <x:font>
      <x:i/>
      <x:sz val="10"/>
      <x:color rgb="FF596579"/>
      <x:name val="Arial"/>
    </x:font>
    <x:font>
      <x:b/>
      <x:sz val="10"/>
      <x:color rgb="FFFFFFFF"/>
      <x:name val="Arial"/>
    </x:font>
    <x:font>
      <x:sz val="10"/>
      <x:color rgb="FF1720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A"/>
      </x:patternFill>
    </x:fill>
  </x:fills>
  <x:borders count="2">
    <x:border/>
    <x:border>
      <x:bottom style="thin">
        <x:color rgb="FF8A94A6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e030c857bd4c85" /><Relationship Type="http://schemas.openxmlformats.org/officeDocument/2006/relationships/theme" Target="/xl/theme/theme1.xml" Id="R043cc911fbef42d2" /><Relationship Type="http://schemas.openxmlformats.org/officeDocument/2006/relationships/sharedStrings" Target="/xl/sharedStrings.xml" Id="R682dccbda9cf4501" /><Relationship Type="http://schemas.openxmlformats.org/officeDocument/2006/relationships/worksheet" Target="/xl/worksheets/sheet1.xml" Id="R078dfd7c89d74703" /><Relationship Type="http://schemas.openxmlformats.org/officeDocument/2006/relationships/worksheet" Target="/xl/worksheets/sheet2.xml" Id="Rbd36ca0768514668" /><Relationship Type="http://schemas.openxmlformats.org/officeDocument/2006/relationships/worksheet" Target="/xl/worksheets/sheet3.xml" Id="R47308ec5f1d24aca" /><Relationship Type="http://schemas.openxmlformats.org/officeDocument/2006/relationships/worksheet" Target="/xl/worksheets/sheet4.xml" Id="R082e6442824d4ca1" /><Relationship Type="http://schemas.openxmlformats.org/officeDocument/2006/relationships/worksheet" Target="/xl/worksheets/sheet5.xml" Id="R39d691353cdb484b" /><Relationship Type="http://schemas.openxmlformats.org/officeDocument/2006/relationships/worksheet" Target="/xl/worksheets/sheet6.xml" Id="R84c825567de740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9.3799991607666" hidden="0" customWidth="1"/>
    <x:col min="2" max="2" width="15" hidden="0" customWidth="1"/>
    <x:col min="3" max="3" width="15" hidden="0" customWidth="1"/>
    <x:col min="4" max="4" width="1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  <x:col min="19" max="19" width="11.5" hidden="0" customWidth="1"/>
  </x:cols>
  <x:sheetData>
    <x:row r="1" ht="18" customHeight="1">
      <x:c r="A1" s="20" t="str">
        <x:v>Current building baseline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</x:row>
    <x:row r="2" ht="18" customHeight="1">
      <x:c r="A2" s="22" t="str">
        <x:v>Values extracted from the current BuildingDefinition assets. Derived columns use formulas.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</x:row>
    <x:row r="3" ht="16.5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</x:row>
    <x:row r="4" ht="28.5" customHeight="1">
      <x:c r="A4" s="8" t="str">
        <x:v>Source</x:v>
      </x:c>
      <x:c r="B4" s="8" t="str">
        <x:v>ID</x:v>
      </x:c>
      <x:c r="C4" s="8" t="str">
        <x:v>Name</x:v>
      </x:c>
      <x:c r="D4" s="8" t="str">
        <x:v>Role</x:v>
      </x:c>
      <x:c r="E4" s="8" t="str">
        <x:v>Cost</x:v>
      </x:c>
      <x:c r="F4" s="8" t="str">
        <x:v>Prod/s</x:v>
      </x:c>
      <x:c r="G4" s="8" t="str">
        <x:v>Maint/s</x:v>
      </x:c>
      <x:c r="H4" s="8" t="str">
        <x:v>Pop Cap</x:v>
      </x:c>
      <x:c r="I4" s="8" t="str">
        <x:v>Workers</x:v>
      </x:c>
      <x:c r="J4" s="8" t="str">
        <x:v>Leisure</x:v>
      </x:c>
      <x:c r="K4" s="8" t="str">
        <x:v>Width</x:v>
      </x:c>
      <x:c r="L4" s="8" t="str">
        <x:v>Height</x:v>
      </x:c>
      <x:c r="M4" s="8" t="str">
        <x:v>Area</x:v>
      </x:c>
      <x:c r="N4" s="8" t="str">
        <x:v>City Value</x:v>
      </x:c>
      <x:c r="O4" s="8" t="str">
        <x:v>Base Payback s</x:v>
      </x:c>
      <x:c r="P4" s="8" t="str">
        <x:v>Operating Payback s</x:v>
      </x:c>
      <x:c r="Q4" s="8" t="str">
        <x:v>Prod/Worker</x:v>
      </x:c>
      <x:c r="R4" s="8" t="str">
        <x:v>Prod/Tile</x:v>
      </x:c>
      <x:c r="S4" s="8" t="str">
        <x:v>City Value/Cost</x:v>
      </x:c>
    </x:row>
    <x:row r="5" ht="16.5" customHeight="1">
      <x:c r="A5" s="12" t="str">
        <x:v>Assets/ScriptableObject/Buildings/0.asset</x:v>
      </x:c>
      <x:c r="B5" s="13" t="str">
        <x:v>road_normal</x:v>
      </x:c>
      <x:c r="C5" s="12" t="str">
        <x:v>ROAD</x:v>
      </x:c>
      <x:c r="D5" s="12" t="str">
        <x:v>Road</x:v>
      </x:c>
      <x:c r="E5" s="14" t="n">
        <x:v>10</x:v>
      </x:c>
      <x:c r="F5" s="14" t="n">
        <x:v>0</x:v>
      </x:c>
      <x:c r="G5" s="14" t="n">
        <x:v>0</x:v>
      </x:c>
      <x:c r="H5" s="14" t="n">
        <x:v>0</x:v>
      </x:c>
      <x:c r="I5" s="14" t="n">
        <x:v>0</x:v>
      </x:c>
      <x:c r="J5" s="14" t="n">
        <x:v>0</x:v>
      </x:c>
      <x:c r="K5" s="14" t="n">
        <x:v>1</x:v>
      </x:c>
      <x:c r="L5" s="14" t="n">
        <x:v>1</x:v>
      </x:c>
      <x:c r="M5" s="14" t="n">
        <x:f>K5*L5</x:f>
        <x:v>1</x:v>
      </x:c>
      <x:c r="N5" s="14" t="n">
        <x:v>0</x:v>
      </x:c>
      <x:c r="O5" s="14" t="str">
        <x:f>IF(F5&gt;0,E5/F5,"")</x:f>
      </x:c>
      <x:c r="P5" s="14" t="str">
        <x:f>IF(F5-G5&gt;0,E5/(F5-G5),"")</x:f>
      </x:c>
      <x:c r="Q5" s="14" t="str">
        <x:f>IF(I5&gt;0,F5/I5,"")</x:f>
      </x:c>
      <x:c r="R5" s="14" t="n">
        <x:f>IF(M5&gt;0,F5/M5,"")</x:f>
        <x:v>0</x:v>
      </x:c>
      <x:c r="S5" s="14" t="n">
        <x:f>IF(E5&gt;0,N5/E5,"")</x:f>
        <x:v>0</x:v>
      </x:c>
    </x:row>
    <x:row r="6" ht="16.5" customHeight="1">
      <x:c r="A6" s="12" t="str">
        <x:v>Assets/ScriptableObject/Buildings/1.asset</x:v>
      </x:c>
      <x:c r="B6" s="13" t="str">
        <x:v>small_house</x:v>
      </x:c>
      <x:c r="C6" s="12" t="str">
        <x:v>Small House</x:v>
      </x:c>
      <x:c r="D6" s="12" t="str">
        <x:v>Residential</x:v>
      </x:c>
      <x:c r="E6" s="14" t="n">
        <x:v>500</x:v>
      </x:c>
      <x:c r="F6" s="14" t="n">
        <x:v>0</x:v>
      </x:c>
      <x:c r="G6" s="14" t="n">
        <x:v>10</x:v>
      </x:c>
      <x:c r="H6" s="14" t="n">
        <x:v>10</x:v>
      </x:c>
      <x:c r="I6" s="14" t="n">
        <x:v>0</x:v>
      </x:c>
      <x:c r="J6" s="14" t="n">
        <x:v>0</x:v>
      </x:c>
      <x:c r="K6" s="14" t="n">
        <x:v>1</x:v>
      </x:c>
      <x:c r="L6" s="14" t="n">
        <x:v>1</x:v>
      </x:c>
      <x:c r="M6" s="14" t="n">
        <x:f>K6*L6</x:f>
        <x:v>1</x:v>
      </x:c>
      <x:c r="N6" s="14" t="n">
        <x:v>100</x:v>
      </x:c>
      <x:c r="O6" s="14" t="str">
        <x:f>IF(F6&gt;0,E6/F6,"")</x:f>
      </x:c>
      <x:c r="P6" s="14" t="str">
        <x:f>IF(F6-G6&gt;0,E6/(F6-G6),"")</x:f>
      </x:c>
      <x:c r="Q6" s="14" t="str">
        <x:f>IF(I6&gt;0,F6/I6,"")</x:f>
      </x:c>
      <x:c r="R6" s="14" t="n">
        <x:f>IF(M6&gt;0,F6/M6,"")</x:f>
        <x:v>0</x:v>
      </x:c>
      <x:c r="S6" s="14" t="n">
        <x:f>IF(E6&gt;0,N6/E6,"")</x:f>
        <x:v>0.2</x:v>
      </x:c>
    </x:row>
    <x:row r="7" ht="16.5" customHeight="1">
      <x:c r="A7" s="12" t="str">
        <x:v>Assets/ScriptableObject/Buildings/2.asset</x:v>
      </x:c>
      <x:c r="B7" s="13" t="str">
        <x:v>factory</x:v>
      </x:c>
      <x:c r="C7" s="12" t="str">
        <x:v>Factory</x:v>
      </x:c>
      <x:c r="D7" s="12" t="str">
        <x:v>Workplace</x:v>
      </x:c>
      <x:c r="E7" s="14" t="n">
        <x:v>2000</x:v>
      </x:c>
      <x:c r="F7" s="14" t="n">
        <x:v>60</x:v>
      </x:c>
      <x:c r="G7" s="14" t="n">
        <x:v>0</x:v>
      </x:c>
      <x:c r="H7" s="14" t="n">
        <x:v>0</x:v>
      </x:c>
      <x:c r="I7" s="14" t="n">
        <x:v>10</x:v>
      </x:c>
      <x:c r="J7" s="14" t="n">
        <x:v>0</x:v>
      </x:c>
      <x:c r="K7" s="14" t="n">
        <x:v>1</x:v>
      </x:c>
      <x:c r="L7" s="14" t="n">
        <x:v>1</x:v>
      </x:c>
      <x:c r="M7" s="14" t="n">
        <x:f>K7*L7</x:f>
        <x:v>1</x:v>
      </x:c>
      <x:c r="N7" s="14" t="n">
        <x:v>200</x:v>
      </x:c>
      <x:c r="O7" s="14" t="n">
        <x:f>IF(F7&gt;0,E7/F7,"")</x:f>
        <x:v>33.333333333333336</x:v>
      </x:c>
      <x:c r="P7" s="14" t="n">
        <x:f>IF(F7-G7&gt;0,E7/(F7-G7),"")</x:f>
        <x:v>33.333333333333336</x:v>
      </x:c>
      <x:c r="Q7" s="14" t="n">
        <x:f>IF(I7&gt;0,F7/I7,"")</x:f>
        <x:v>6</x:v>
      </x:c>
      <x:c r="R7" s="14" t="n">
        <x:f>IF(M7&gt;0,F7/M7,"")</x:f>
        <x:v>60</x:v>
      </x:c>
      <x:c r="S7" s="14" t="n">
        <x:f>IF(E7&gt;0,N7/E7,"")</x:f>
        <x:v>0.1</x:v>
      </x:c>
    </x:row>
    <x:row r="8" ht="16.5" customHeight="1">
      <x:c r="A8" s="12" t="str">
        <x:v>Assets/ScriptableObject/Buildings/3.asset</x:v>
      </x:c>
      <x:c r="B8" s="13" t="str">
        <x:v>bank</x:v>
      </x:c>
      <x:c r="C8" s="12" t="str">
        <x:v>Bank</x:v>
      </x:c>
      <x:c r="D8" s="12" t="str">
        <x:v>Workplace</x:v>
      </x:c>
      <x:c r="E8" s="14" t="n">
        <x:v>20000</x:v>
      </x:c>
      <x:c r="F8" s="14" t="n">
        <x:v>400</x:v>
      </x:c>
      <x:c r="G8" s="14" t="n">
        <x:v>0</x:v>
      </x:c>
      <x:c r="H8" s="14" t="n">
        <x:v>0</x:v>
      </x:c>
      <x:c r="I8" s="14" t="n">
        <x:v>10</x:v>
      </x:c>
      <x:c r="J8" s="14" t="n">
        <x:v>0</x:v>
      </x:c>
      <x:c r="K8" s="14" t="n">
        <x:v>1</x:v>
      </x:c>
      <x:c r="L8" s="14" t="n">
        <x:v>1</x:v>
      </x:c>
      <x:c r="M8" s="14" t="n">
        <x:f>K8*L8</x:f>
        <x:v>1</x:v>
      </x:c>
      <x:c r="N8" s="14" t="n">
        <x:v>200</x:v>
      </x:c>
      <x:c r="O8" s="14" t="n">
        <x:f>IF(F8&gt;0,E8/F8,"")</x:f>
        <x:v>50</x:v>
      </x:c>
      <x:c r="P8" s="14" t="n">
        <x:f>IF(F8-G8&gt;0,E8/(F8-G8),"")</x:f>
        <x:v>50</x:v>
      </x:c>
      <x:c r="Q8" s="14" t="n">
        <x:f>IF(I8&gt;0,F8/I8,"")</x:f>
        <x:v>40</x:v>
      </x:c>
      <x:c r="R8" s="14" t="n">
        <x:f>IF(M8&gt;0,F8/M8,"")</x:f>
        <x:v>400</x:v>
      </x:c>
      <x:c r="S8" s="14" t="n">
        <x:f>IF(E8&gt;0,N8/E8,"")</x:f>
        <x:v>0.01</x:v>
      </x:c>
    </x:row>
    <x:row r="9" ht="16.5" customHeight="1">
      <x:c r="A9" s="12" t="str">
        <x:v>Assets/ScriptableObject/Buildings/4.asset</x:v>
      </x:c>
      <x:c r="B9" s="13" t="str">
        <x:v>tower</x:v>
      </x:c>
      <x:c r="C9" s="12" t="str">
        <x:v>Tower</x:v>
      </x:c>
      <x:c r="D9" s="12" t="str">
        <x:v>Workplace</x:v>
      </x:c>
      <x:c r="E9" s="14" t="n">
        <x:v>20000</x:v>
      </x:c>
      <x:c r="F9" s="14" t="n">
        <x:v>400</x:v>
      </x:c>
      <x:c r="G9" s="14" t="n">
        <x:v>0</x:v>
      </x:c>
      <x:c r="H9" s="14" t="n">
        <x:v>0</x:v>
      </x:c>
      <x:c r="I9" s="14" t="n">
        <x:v>10</x:v>
      </x:c>
      <x:c r="J9" s="14" t="n">
        <x:v>0</x:v>
      </x:c>
      <x:c r="K9" s="14" t="n">
        <x:v>2</x:v>
      </x:c>
      <x:c r="L9" s="14" t="n">
        <x:v>2</x:v>
      </x:c>
      <x:c r="M9" s="14" t="n">
        <x:f>K9*L9</x:f>
        <x:v>4</x:v>
      </x:c>
      <x:c r="N9" s="14" t="n">
        <x:v>200</x:v>
      </x:c>
      <x:c r="O9" s="14" t="n">
        <x:f>IF(F9&gt;0,E9/F9,"")</x:f>
        <x:v>50</x:v>
      </x:c>
      <x:c r="P9" s="14" t="n">
        <x:f>IF(F9-G9&gt;0,E9/(F9-G9),"")</x:f>
        <x:v>50</x:v>
      </x:c>
      <x:c r="Q9" s="14" t="n">
        <x:f>IF(I9&gt;0,F9/I9,"")</x:f>
        <x:v>40</x:v>
      </x:c>
      <x:c r="R9" s="14" t="n">
        <x:f>IF(M9&gt;0,F9/M9,"")</x:f>
        <x:v>100</x:v>
      </x:c>
      <x:c r="S9" s="14" t="n">
        <x:f>IF(E9&gt;0,N9/E9,"")</x:f>
        <x:v>0.01</x:v>
      </x:c>
    </x:row>
    <x:row r="10" ht="16.5" customHeight="1">
      <x:c r="A10" s="12" t="str">
        <x:v>Assets/ScriptableObject/Buildings/5.asset</x:v>
      </x:c>
      <x:c r="B10" s="13" t="str">
        <x:v>hospital</x:v>
      </x:c>
      <x:c r="C10" s="12" t="str">
        <x:v>Hospital</x:v>
      </x:c>
      <x:c r="D10" s="12" t="str">
        <x:v>Workplace</x:v>
      </x:c>
      <x:c r="E10" s="14" t="n">
        <x:v>20000</x:v>
      </x:c>
      <x:c r="F10" s="14" t="n">
        <x:v>400</x:v>
      </x:c>
      <x:c r="G10" s="14" t="n">
        <x:v>0</x:v>
      </x:c>
      <x:c r="H10" s="14" t="n">
        <x:v>0</x:v>
      </x:c>
      <x:c r="I10" s="14" t="n">
        <x:v>10</x:v>
      </x:c>
      <x:c r="J10" s="14" t="n">
        <x:v>0</x:v>
      </x:c>
      <x:c r="K10" s="14" t="n">
        <x:v>1</x:v>
      </x:c>
      <x:c r="L10" s="14" t="n">
        <x:v>1</x:v>
      </x:c>
      <x:c r="M10" s="14" t="n">
        <x:f>K10*L10</x:f>
        <x:v>1</x:v>
      </x:c>
      <x:c r="N10" s="14" t="n">
        <x:v>200</x:v>
      </x:c>
      <x:c r="O10" s="14" t="n">
        <x:f>IF(F10&gt;0,E10/F10,"")</x:f>
        <x:v>50</x:v>
      </x:c>
      <x:c r="P10" s="14" t="n">
        <x:f>IF(F10-G10&gt;0,E10/(F10-G10),"")</x:f>
        <x:v>50</x:v>
      </x:c>
      <x:c r="Q10" s="14" t="n">
        <x:f>IF(I10&gt;0,F10/I10,"")</x:f>
        <x:v>40</x:v>
      </x:c>
      <x:c r="R10" s="14" t="n">
        <x:f>IF(M10&gt;0,F10/M10,"")</x:f>
        <x:v>400</x:v>
      </x:c>
      <x:c r="S10" s="14" t="n">
        <x:f>IF(E10&gt;0,N10/E10,"")</x:f>
        <x:v>0.01</x:v>
      </x:c>
    </x:row>
    <x:row r="11" ht="16.5" customHeight="1">
      <x:c r="A11" s="12" t="str">
        <x:v>Assets/ScriptableObject/Buildings/6.asset</x:v>
      </x:c>
      <x:c r="B11" s="13" t="str">
        <x:v>school</x:v>
      </x:c>
      <x:c r="C11" s="12" t="str">
        <x:v>School</x:v>
      </x:c>
      <x:c r="D11" s="12" t="str">
        <x:v>Workplace</x:v>
      </x:c>
      <x:c r="E11" s="14" t="n">
        <x:v>20000</x:v>
      </x:c>
      <x:c r="F11" s="14" t="n">
        <x:v>400</x:v>
      </x:c>
      <x:c r="G11" s="14" t="n">
        <x:v>0</x:v>
      </x:c>
      <x:c r="H11" s="14" t="n">
        <x:v>0</x:v>
      </x:c>
      <x:c r="I11" s="14" t="n">
        <x:v>10</x:v>
      </x:c>
      <x:c r="J11" s="14" t="n">
        <x:v>0</x:v>
      </x:c>
      <x:c r="K11" s="14" t="n">
        <x:v>1</x:v>
      </x:c>
      <x:c r="L11" s="14" t="n">
        <x:v>1</x:v>
      </x:c>
      <x:c r="M11" s="14" t="n">
        <x:f>K11*L11</x:f>
        <x:v>1</x:v>
      </x:c>
      <x:c r="N11" s="14" t="n">
        <x:v>200</x:v>
      </x:c>
      <x:c r="O11" s="14" t="n">
        <x:f>IF(F11&gt;0,E11/F11,"")</x:f>
        <x:v>50</x:v>
      </x:c>
      <x:c r="P11" s="14" t="n">
        <x:f>IF(F11-G11&gt;0,E11/(F11-G11),"")</x:f>
        <x:v>50</x:v>
      </x:c>
      <x:c r="Q11" s="14" t="n">
        <x:f>IF(I11&gt;0,F11/I11,"")</x:f>
        <x:v>40</x:v>
      </x:c>
      <x:c r="R11" s="14" t="n">
        <x:f>IF(M11&gt;0,F11/M11,"")</x:f>
        <x:v>400</x:v>
      </x:c>
      <x:c r="S11" s="14" t="n">
        <x:f>IF(E11&gt;0,N11/E11,"")</x:f>
        <x:v>0.01</x:v>
      </x:c>
    </x:row>
    <x:row r="12" ht="16.5" customHeight="1">
      <x:c r="A12" s="12" t="str">
        <x:v>Assets/ScriptableObject/Buildings/7.asset</x:v>
      </x:c>
      <x:c r="B12" s="13" t="str">
        <x:v>finance</x:v>
      </x:c>
      <x:c r="C12" s="12" t="str">
        <x:v>Finance</x:v>
      </x:c>
      <x:c r="D12" s="12" t="str">
        <x:v>Workplace</x:v>
      </x:c>
      <x:c r="E12" s="14" t="n">
        <x:v>20000</x:v>
      </x:c>
      <x:c r="F12" s="14" t="n">
        <x:v>400</x:v>
      </x:c>
      <x:c r="G12" s="14" t="n">
        <x:v>0</x:v>
      </x:c>
      <x:c r="H12" s="14" t="n">
        <x:v>0</x:v>
      </x:c>
      <x:c r="I12" s="14" t="n">
        <x:v>10</x:v>
      </x:c>
      <x:c r="J12" s="14" t="n">
        <x:v>0</x:v>
      </x:c>
      <x:c r="K12" s="14" t="n">
        <x:v>2</x:v>
      </x:c>
      <x:c r="L12" s="14" t="n">
        <x:v>2</x:v>
      </x:c>
      <x:c r="M12" s="14" t="n">
        <x:f>K12*L12</x:f>
        <x:v>4</x:v>
      </x:c>
      <x:c r="N12" s="14" t="n">
        <x:v>200</x:v>
      </x:c>
      <x:c r="O12" s="14" t="n">
        <x:f>IF(F12&gt;0,E12/F12,"")</x:f>
        <x:v>50</x:v>
      </x:c>
      <x:c r="P12" s="14" t="n">
        <x:f>IF(F12-G12&gt;0,E12/(F12-G12),"")</x:f>
        <x:v>50</x:v>
      </x:c>
      <x:c r="Q12" s="14" t="n">
        <x:f>IF(I12&gt;0,F12/I12,"")</x:f>
        <x:v>40</x:v>
      </x:c>
      <x:c r="R12" s="14" t="n">
        <x:f>IF(M12&gt;0,F12/M12,"")</x:f>
        <x:v>100</x:v>
      </x:c>
      <x:c r="S12" s="14" t="n">
        <x:f>IF(E12&gt;0,N12/E12,"")</x:f>
        <x:v>0.01</x:v>
      </x:c>
    </x:row>
    <x:row r="13" ht="16.5" customHeight="1">
      <x:c r="A13" s="12" t="str">
        <x:v>Assets/ScriptableObject/Buildings/8.asset</x:v>
      </x:c>
      <x:c r="B13" s="13" t="str">
        <x:v>id:888</x:v>
      </x:c>
      <x:c r="C13" s="12" t="str">
        <x:v>888</x:v>
      </x:c>
      <x:c r="D13" s="12" t="str">
        <x:v>Workplace</x:v>
      </x:c>
      <x:c r="E13" s="14" t="n">
        <x:v>20000</x:v>
      </x:c>
      <x:c r="F13" s="14" t="n">
        <x:v>400</x:v>
      </x:c>
      <x:c r="G13" s="14" t="n">
        <x:v>0</x:v>
      </x:c>
      <x:c r="H13" s="14" t="n">
        <x:v>0</x:v>
      </x:c>
      <x:c r="I13" s="14" t="n">
        <x:v>10</x:v>
      </x:c>
      <x:c r="J13" s="14" t="n">
        <x:v>0</x:v>
      </x:c>
      <x:c r="K13" s="14" t="n">
        <x:v>1</x:v>
      </x:c>
      <x:c r="L13" s="14" t="n">
        <x:v>1</x:v>
      </x:c>
      <x:c r="M13" s="14" t="n">
        <x:f>K13*L13</x:f>
        <x:v>1</x:v>
      </x:c>
      <x:c r="N13" s="14" t="n">
        <x:v>200</x:v>
      </x:c>
      <x:c r="O13" s="14" t="n">
        <x:f>IF(F13&gt;0,E13/F13,"")</x:f>
        <x:v>50</x:v>
      </x:c>
      <x:c r="P13" s="14" t="n">
        <x:f>IF(F13-G13&gt;0,E13/(F13-G13),"")</x:f>
        <x:v>50</x:v>
      </x:c>
      <x:c r="Q13" s="14" t="n">
        <x:f>IF(I13&gt;0,F13/I13,"")</x:f>
        <x:v>40</x:v>
      </x:c>
      <x:c r="R13" s="14" t="n">
        <x:f>IF(M13&gt;0,F13/M13,"")</x:f>
        <x:v>400</x:v>
      </x:c>
      <x:c r="S13" s="14" t="n">
        <x:f>IF(E13&gt;0,N13/E13,"")</x:f>
        <x:v>0.01</x:v>
      </x:c>
    </x:row>
    <x:row r="14" ht="16.5" customHeight="1">
      <x:c r="A14" s="12" t="str">
        <x:v>Assets/ScriptableObject/Buildings/9.asset</x:v>
      </x:c>
      <x:c r="B14" s="13" t="str">
        <x:v>id:999</x:v>
      </x:c>
      <x:c r="C14" s="12" t="str">
        <x:v>999</x:v>
      </x:c>
      <x:c r="D14" s="12" t="str">
        <x:v>Workplace</x:v>
      </x:c>
      <x:c r="E14" s="14" t="n">
        <x:v>20000</x:v>
      </x:c>
      <x:c r="F14" s="14" t="n">
        <x:v>400</x:v>
      </x:c>
      <x:c r="G14" s="14" t="n">
        <x:v>0</x:v>
      </x:c>
      <x:c r="H14" s="14" t="n">
        <x:v>0</x:v>
      </x:c>
      <x:c r="I14" s="14" t="n">
        <x:v>10</x:v>
      </x:c>
      <x:c r="J14" s="14" t="n">
        <x:v>0</x:v>
      </x:c>
      <x:c r="K14" s="14" t="n">
        <x:v>1</x:v>
      </x:c>
      <x:c r="L14" s="14" t="n">
        <x:v>1</x:v>
      </x:c>
      <x:c r="M14" s="14" t="n">
        <x:f>K14*L14</x:f>
        <x:v>1</x:v>
      </x:c>
      <x:c r="N14" s="14" t="n">
        <x:v>200</x:v>
      </x:c>
      <x:c r="O14" s="14" t="n">
        <x:f>IF(F14&gt;0,E14/F14,"")</x:f>
        <x:v>50</x:v>
      </x:c>
      <x:c r="P14" s="14" t="n">
        <x:f>IF(F14-G14&gt;0,E14/(F14-G14),"")</x:f>
        <x:v>50</x:v>
      </x:c>
      <x:c r="Q14" s="14" t="n">
        <x:f>IF(I14&gt;0,F14/I14,"")</x:f>
        <x:v>40</x:v>
      </x:c>
      <x:c r="R14" s="14" t="n">
        <x:f>IF(M14&gt;0,F14/M14,"")</x:f>
        <x:v>400</x:v>
      </x:c>
      <x:c r="S14" s="14" t="n">
        <x:f>IF(E14&gt;0,N14/E14,"")</x:f>
        <x:v>0.01</x:v>
      </x:c>
    </x:row>
    <x:row r="15" ht="16.5" customHeight="1">
      <x:c r="A15" s="12" t="str">
        <x:v>Assets/ScriptableObject/Buildings/10.asset</x:v>
      </x:c>
      <x:c r="B15" s="13" t="str">
        <x:v>id:1010110</x:v>
      </x:c>
      <x:c r="C15" s="12" t="str">
        <x:v>1010110</x:v>
      </x:c>
      <x:c r="D15" s="12" t="str">
        <x:v>Leisure</x:v>
      </x:c>
      <x:c r="E15" s="14" t="n">
        <x:v>20000</x:v>
      </x:c>
      <x:c r="F15" s="14" t="n">
        <x:v>400</x:v>
      </x:c>
      <x:c r="G15" s="14" t="n">
        <x:v>0</x:v>
      </x:c>
      <x:c r="H15" s="14" t="n">
        <x:v>0</x:v>
      </x:c>
      <x:c r="I15" s="14" t="n">
        <x:v>0</x:v>
      </x:c>
      <x:c r="J15" s="14" t="n">
        <x:v>10</x:v>
      </x:c>
      <x:c r="K15" s="14" t="n">
        <x:v>1</x:v>
      </x:c>
      <x:c r="L15" s="14" t="n">
        <x:v>1</x:v>
      </x:c>
      <x:c r="M15" s="14" t="n">
        <x:f>K15*L15</x:f>
        <x:v>1</x:v>
      </x:c>
      <x:c r="N15" s="14" t="n">
        <x:v>200</x:v>
      </x:c>
      <x:c r="O15" s="14" t="n">
        <x:f>IF(F15&gt;0,E15/F15,"")</x:f>
        <x:v>50</x:v>
      </x:c>
      <x:c r="P15" s="14" t="n">
        <x:f>IF(F15-G15&gt;0,E15/(F15-G15),"")</x:f>
        <x:v>50</x:v>
      </x:c>
      <x:c r="Q15" s="14" t="str">
        <x:f>IF(I15&gt;0,F15/I15,"")</x:f>
      </x:c>
      <x:c r="R15" s="14" t="n">
        <x:f>IF(M15&gt;0,F15/M15,"")</x:f>
        <x:v>400</x:v>
      </x:c>
      <x:c r="S15" s="14" t="n">
        <x:f>IF(E15&gt;0,N15/E15,"")</x:f>
        <x:v>0.01</x:v>
      </x:c>
    </x:row>
    <x:row r="16" ht="16.5" customHeight="1">
      <x:c r="A16" s="12" t="str">
        <x:v>Assets/ScriptableObject/Buildings/11.asset</x:v>
      </x:c>
      <x:c r="B16" s="13" t="str">
        <x:v>id:11111111</x:v>
      </x:c>
      <x:c r="C16" s="12" t="str">
        <x:v>11111111</x:v>
      </x:c>
      <x:c r="D16" s="12" t="str">
        <x:v>Leisure</x:v>
      </x:c>
      <x:c r="E16" s="14" t="n">
        <x:v>20000</x:v>
      </x:c>
      <x:c r="F16" s="14" t="n">
        <x:v>400</x:v>
      </x:c>
      <x:c r="G16" s="14" t="n">
        <x:v>0</x:v>
      </x:c>
      <x:c r="H16" s="14" t="n">
        <x:v>0</x:v>
      </x:c>
      <x:c r="I16" s="14" t="n">
        <x:v>0</x:v>
      </x:c>
      <x:c r="J16" s="14" t="n">
        <x:v>10</x:v>
      </x:c>
      <x:c r="K16" s="14" t="n">
        <x:v>1</x:v>
      </x:c>
      <x:c r="L16" s="14" t="n">
        <x:v>1</x:v>
      </x:c>
      <x:c r="M16" s="14" t="n">
        <x:f>K16*L16</x:f>
        <x:v>1</x:v>
      </x:c>
      <x:c r="N16" s="14" t="n">
        <x:v>200</x:v>
      </x:c>
      <x:c r="O16" s="14" t="n">
        <x:f>IF(F16&gt;0,E16/F16,"")</x:f>
        <x:v>50</x:v>
      </x:c>
      <x:c r="P16" s="14" t="n">
        <x:f>IF(F16-G16&gt;0,E16/(F16-G16),"")</x:f>
        <x:v>50</x:v>
      </x:c>
      <x:c r="Q16" s="14" t="str">
        <x:f>IF(I16&gt;0,F16/I16,"")</x:f>
      </x:c>
      <x:c r="R16" s="14" t="n">
        <x:f>IF(M16&gt;0,F16/M16,"")</x:f>
        <x:v>400</x:v>
      </x:c>
      <x:c r="S16" s="14" t="n">
        <x:f>IF(E16&gt;0,N16/E16,"")</x:f>
        <x:v>0.01</x:v>
      </x:c>
    </x:row>
    <x:row r="17" ht="16.5" customHeight="1">
      <x:c r="A17" s="12" t="str">
        <x:v>Assets/ScriptableObject/Buildings/12.asset</x:v>
      </x:c>
      <x:c r="B17" s="13" t="str">
        <x:v>id:12121212</x:v>
      </x:c>
      <x:c r="C17" s="12" t="str">
        <x:v>12121212</x:v>
      </x:c>
      <x:c r="D17" s="12" t="str">
        <x:v>Leisure</x:v>
      </x:c>
      <x:c r="E17" s="14" t="n">
        <x:v>20000</x:v>
      </x:c>
      <x:c r="F17" s="14" t="n">
        <x:v>400</x:v>
      </x:c>
      <x:c r="G17" s="14" t="n">
        <x:v>0</x:v>
      </x:c>
      <x:c r="H17" s="14" t="n">
        <x:v>0</x:v>
      </x:c>
      <x:c r="I17" s="14" t="n">
        <x:v>0</x:v>
      </x:c>
      <x:c r="J17" s="14" t="n">
        <x:v>10</x:v>
      </x:c>
      <x:c r="K17" s="14" t="n">
        <x:v>1</x:v>
      </x:c>
      <x:c r="L17" s="14" t="n">
        <x:v>1</x:v>
      </x:c>
      <x:c r="M17" s="14" t="n">
        <x:f>K17*L17</x:f>
        <x:v>1</x:v>
      </x:c>
      <x:c r="N17" s="14" t="n">
        <x:v>200</x:v>
      </x:c>
      <x:c r="O17" s="14" t="n">
        <x:f>IF(F17&gt;0,E17/F17,"")</x:f>
        <x:v>50</x:v>
      </x:c>
      <x:c r="P17" s="14" t="n">
        <x:f>IF(F17-G17&gt;0,E17/(F17-G17),"")</x:f>
        <x:v>50</x:v>
      </x:c>
      <x:c r="Q17" s="14" t="str">
        <x:f>IF(I17&gt;0,F17/I17,"")</x:f>
      </x:c>
      <x:c r="R17" s="14" t="n">
        <x:f>IF(M17&gt;0,F17/M17,"")</x:f>
        <x:v>400</x:v>
      </x:c>
      <x:c r="S17" s="14" t="n">
        <x:f>IF(E17&gt;0,N17/E17,"")</x:f>
        <x:v>0.01</x:v>
      </x:c>
    </x:row>
    <x:row r="18" ht="16.5" customHeight="1">
      <x:c r="A18" s="12" t="str">
        <x:v>Assets/ScriptableObject/Buildings/13.asset</x:v>
      </x:c>
      <x:c r="B18" s="13" t="str">
        <x:v>id:131313131313</x:v>
      </x:c>
      <x:c r="C18" s="12" t="str">
        <x:v>so high building</x:v>
      </x:c>
      <x:c r="D18" s="12" t="str">
        <x:v>Workplace</x:v>
      </x:c>
      <x:c r="E18" s="14" t="n">
        <x:v>20000</x:v>
      </x:c>
      <x:c r="F18" s="14" t="n">
        <x:v>400</x:v>
      </x:c>
      <x:c r="G18" s="14" t="n">
        <x:v>0</x:v>
      </x:c>
      <x:c r="H18" s="14" t="n">
        <x:v>0</x:v>
      </x:c>
      <x:c r="I18" s="14" t="n">
        <x:v>10</x:v>
      </x:c>
      <x:c r="J18" s="14" t="n">
        <x:v>0</x:v>
      </x:c>
      <x:c r="K18" s="14" t="n">
        <x:v>2</x:v>
      </x:c>
      <x:c r="L18" s="14" t="n">
        <x:v>2</x:v>
      </x:c>
      <x:c r="M18" s="14" t="n">
        <x:f>K18*L18</x:f>
        <x:v>4</x:v>
      </x:c>
      <x:c r="N18" s="14" t="n">
        <x:v>200</x:v>
      </x:c>
      <x:c r="O18" s="14" t="n">
        <x:f>IF(F18&gt;0,E18/F18,"")</x:f>
        <x:v>50</x:v>
      </x:c>
      <x:c r="P18" s="14" t="n">
        <x:f>IF(F18-G18&gt;0,E18/(F18-G18),"")</x:f>
        <x:v>50</x:v>
      </x:c>
      <x:c r="Q18" s="14" t="n">
        <x:f>IF(I18&gt;0,F18/I18,"")</x:f>
        <x:v>40</x:v>
      </x:c>
      <x:c r="R18" s="14" t="n">
        <x:f>IF(M18&gt;0,F18/M18,"")</x:f>
        <x:v>100</x:v>
      </x:c>
      <x:c r="S18" s="14" t="n">
        <x:f>IF(E18&gt;0,N18/E18,"")</x:f>
        <x:v>0.01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.630000114440918" hidden="0" customWidth="1"/>
    <x:col min="2" max="2" width="15.630000114440918" hidden="0" customWidth="1"/>
    <x:col min="3" max="3" width="15.630000114440918" hidden="0" customWidth="1"/>
    <x:col min="4" max="4" width="10.630000114440918" hidden="0" customWidth="1"/>
    <x:col min="5" max="5" width="10.630000114440918" hidden="0" customWidth="1"/>
    <x:col min="6" max="6" width="10.630000114440918" hidden="0" customWidth="1"/>
    <x:col min="7" max="7" width="10.630000114440918" hidden="0" customWidth="1"/>
    <x:col min="8" max="8" width="10.630000114440918" hidden="0" customWidth="1"/>
    <x:col min="9" max="9" width="10.630000114440918" hidden="0" customWidth="1"/>
    <x:col min="10" max="10" width="10.630000114440918" hidden="0" customWidth="1"/>
    <x:col min="11" max="11" width="10.630000114440918" hidden="0" customWidth="1"/>
    <x:col min="12" max="12" width="10.630000114440918" hidden="0" customWidth="1"/>
    <x:col min="13" max="13" width="10.630000114440918" hidden="0" customWidth="1"/>
    <x:col min="14" max="14" width="12.5" hidden="0" customWidth="1"/>
    <x:col min="15" max="15" width="27.5" hidden="0" customWidth="1"/>
    <x:col min="16" max="16" width="13.130000114440918" hidden="0" customWidth="1"/>
    <x:col min="17" max="17" width="13.130000114440918" hidden="0" customWidth="1"/>
    <x:col min="18" max="18" width="13.130000114440918" hidden="0" customWidth="1"/>
    <x:col min="19" max="19" width="13.130000114440918" hidden="0" customWidth="1"/>
  </x:cols>
  <x:sheetData>
    <x:row r="1" ht="18" customHeight="1">
      <x:c r="A1" s="20" t="str">
        <x:v>H0 building design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</x:row>
    <x:row r="2" ht="18" customHeight="1">
      <x:c r="A2" s="22" t="str">
        <x:v>Initial values for simulation only. Do not apply to Unity assets before Stage 3 validation.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</x:row>
    <x:row r="3" ht="16.5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</x:row>
    <x:row r="4" ht="28.5" customHeight="1">
      <x:c r="A4" s="8" t="str">
        <x:v>ID</x:v>
      </x:c>
      <x:c r="B4" s="8" t="str">
        <x:v>Proposed Name</x:v>
      </x:c>
      <x:c r="C4" s="8" t="str">
        <x:v>Role</x:v>
      </x:c>
      <x:c r="D4" s="8" t="str">
        <x:v>Cost</x:v>
      </x:c>
      <x:c r="E4" s="8" t="str">
        <x:v>Prod/s</x:v>
      </x:c>
      <x:c r="F4" s="8" t="str">
        <x:v>Maint/s</x:v>
      </x:c>
      <x:c r="G4" s="8" t="str">
        <x:v>Pop Cap</x:v>
      </x:c>
      <x:c r="H4" s="8" t="str">
        <x:v>Workers</x:v>
      </x:c>
      <x:c r="I4" s="8" t="str">
        <x:v>Leisure</x:v>
      </x:c>
      <x:c r="J4" s="8" t="str">
        <x:v>Width</x:v>
      </x:c>
      <x:c r="K4" s="8" t="str">
        <x:v>Height</x:v>
      </x:c>
      <x:c r="L4" s="8" t="str">
        <x:v>Area</x:v>
      </x:c>
      <x:c r="M4" s="8" t="str">
        <x:v>City Value</x:v>
      </x:c>
      <x:c r="N4" s="8" t="str">
        <x:v>Unlock</x:v>
      </x:c>
      <x:c r="O4" s="8" t="str">
        <x:v>Purpose</x:v>
      </x:c>
      <x:c r="P4" s="8" t="str">
        <x:v>Operating Payback s</x:v>
      </x:c>
      <x:c r="Q4" s="8" t="str">
        <x:v>Prod/Worker</x:v>
      </x:c>
      <x:c r="R4" s="8" t="str">
        <x:v>Prod/Tile</x:v>
      </x:c>
      <x:c r="S4" s="8" t="str">
        <x:v>City Value/Cost</x:v>
      </x:c>
    </x:row>
    <x:row r="5" ht="16.5" customHeight="1">
      <x:c r="A5" s="13" t="str">
        <x:v>road_normal</x:v>
      </x:c>
      <x:c r="B5" s="12" t="str">
        <x:v>Road</x:v>
      </x:c>
      <x:c r="C5" s="12" t="str">
        <x:v>Road</x:v>
      </x:c>
      <x:c r="D5" s="14" t="n">
        <x:v>10</x:v>
      </x:c>
      <x:c r="E5" s="14" t="n">
        <x:v>0</x:v>
      </x:c>
      <x:c r="F5" s="14" t="n">
        <x:v>0</x:v>
      </x:c>
      <x:c r="G5" s="14" t="n">
        <x:v>0</x:v>
      </x:c>
      <x:c r="H5" s="14" t="n">
        <x:v>0</x:v>
      </x:c>
      <x:c r="I5" s="14" t="n">
        <x:v>0</x:v>
      </x:c>
      <x:c r="J5" s="14" t="n">
        <x:v>1</x:v>
      </x:c>
      <x:c r="K5" s="14" t="n">
        <x:v>1</x:v>
      </x:c>
      <x:c r="L5" s="14" t="n">
        <x:f>J5*K5</x:f>
        <x:v>1</x:v>
      </x:c>
      <x:c r="M5" s="14" t="n">
        <x:v>0</x:v>
      </x:c>
      <x:c r="N5" s="12" t="str">
        <x:v>Start</x:v>
      </x:c>
      <x:c r="O5" s="15" t="str">
        <x:v>Infrastructure</x:v>
      </x:c>
      <x:c r="P5" s="14" t="str">
        <x:f>IF(E5-F5&gt;0,D5/(E5-F5),"")</x:f>
      </x:c>
      <x:c r="Q5" s="14" t="str">
        <x:f>IF(H5&gt;0,E5/H5,"")</x:f>
      </x:c>
      <x:c r="R5" s="14" t="n">
        <x:f>IF(L5&gt;0,E5/L5,"")</x:f>
        <x:v>0</x:v>
      </x:c>
      <x:c r="S5" s="14" t="n">
        <x:f>IF(D5&gt;0,M5/D5,"")</x:f>
        <x:v>0</x:v>
      </x:c>
    </x:row>
    <x:row r="6" ht="16.5" customHeight="1">
      <x:c r="A6" s="13" t="str">
        <x:v>small_house</x:v>
      </x:c>
      <x:c r="B6" s="12" t="str">
        <x:v>Small House</x:v>
      </x:c>
      <x:c r="C6" s="12" t="str">
        <x:v>Residential</x:v>
      </x:c>
      <x:c r="D6" s="14" t="n">
        <x:v>500</x:v>
      </x:c>
      <x:c r="E6" s="14" t="n">
        <x:v>0</x:v>
      </x:c>
      <x:c r="F6" s="14" t="n">
        <x:v>2</x:v>
      </x:c>
      <x:c r="G6" s="14" t="n">
        <x:v>10</x:v>
      </x:c>
      <x:c r="H6" s="14" t="n">
        <x:v>0</x:v>
      </x:c>
      <x:c r="I6" s="14" t="n">
        <x:v>0</x:v>
      </x:c>
      <x:c r="J6" s="14" t="n">
        <x:v>1</x:v>
      </x:c>
      <x:c r="K6" s="14" t="n">
        <x:v>1</x:v>
      </x:c>
      <x:c r="L6" s="14" t="n">
        <x:f>J6*K6</x:f>
        <x:v>1</x:v>
      </x:c>
      <x:c r="M6" s="14" t="n">
        <x:v>100</x:v>
      </x:c>
      <x:c r="N6" s="12" t="str">
        <x:v>Start</x:v>
      </x:c>
      <x:c r="O6" s="15" t="str">
        <x:v>Low-risk worker supply</x:v>
      </x:c>
      <x:c r="P6" s="14" t="str">
        <x:f>IF(E6-F6&gt;0,D6/(E6-F6),"")</x:f>
      </x:c>
      <x:c r="Q6" s="14" t="str">
        <x:f>IF(H6&gt;0,E6/H6,"")</x:f>
      </x:c>
      <x:c r="R6" s="14" t="n">
        <x:f>IF(L6&gt;0,E6/L6,"")</x:f>
        <x:v>0</x:v>
      </x:c>
      <x:c r="S6" s="14" t="n">
        <x:f>IF(D6&gt;0,M6/D6,"")</x:f>
        <x:v>0.2</x:v>
      </x:c>
    </x:row>
    <x:row r="7" ht="16.5" customHeight="1">
      <x:c r="A7" s="13" t="str">
        <x:v>factory</x:v>
      </x:c>
      <x:c r="B7" s="12" t="str">
        <x:v>Workshop</x:v>
      </x:c>
      <x:c r="C7" s="12" t="str">
        <x:v>Workplace</x:v>
      </x:c>
      <x:c r="D7" s="14" t="n">
        <x:v>1500</x:v>
      </x:c>
      <x:c r="E7" s="14" t="n">
        <x:v>30</x:v>
      </x:c>
      <x:c r="F7" s="14" t="n">
        <x:v>5</x:v>
      </x:c>
      <x:c r="G7" s="14" t="n">
        <x:v>0</x:v>
      </x:c>
      <x:c r="H7" s="14" t="n">
        <x:v>10</x:v>
      </x:c>
      <x:c r="I7" s="14" t="n">
        <x:v>0</x:v>
      </x:c>
      <x:c r="J7" s="14" t="n">
        <x:v>1</x:v>
      </x:c>
      <x:c r="K7" s="14" t="n">
        <x:v>1</x:v>
      </x:c>
      <x:c r="L7" s="14" t="n">
        <x:f>J7*K7</x:f>
        <x:v>1</x:v>
      </x:c>
      <x:c r="M7" s="14" t="n">
        <x:v>150</x:v>
      </x:c>
      <x:c r="N7" s="12" t="str">
        <x:v>Start</x:v>
      </x:c>
      <x:c r="O7" s="15" t="str">
        <x:v>Early income</x:v>
      </x:c>
      <x:c r="P7" s="14" t="n">
        <x:f>IF(E7-F7&gt;0,D7/(E7-F7),"")</x:f>
        <x:v>60</x:v>
      </x:c>
      <x:c r="Q7" s="14" t="n">
        <x:f>IF(H7&gt;0,E7/H7,"")</x:f>
        <x:v>3</x:v>
      </x:c>
      <x:c r="R7" s="14" t="n">
        <x:f>IF(L7&gt;0,E7/L7,"")</x:f>
        <x:v>30</x:v>
      </x:c>
      <x:c r="S7" s="14" t="n">
        <x:f>IF(D7&gt;0,M7/D7,"")</x:f>
        <x:v>0.1</x:v>
      </x:c>
    </x:row>
    <x:row r="8" ht="16.5" customHeight="1">
      <x:c r="A8" s="13" t="str">
        <x:v>bank</x:v>
      </x:c>
      <x:c r="B8" s="12" t="str">
        <x:v>Commercial Bank</x:v>
      </x:c>
      <x:c r="C8" s="12" t="str">
        <x:v>Workplace</x:v>
      </x:c>
      <x:c r="D8" s="14" t="n">
        <x:v>6000</x:v>
      </x:c>
      <x:c r="E8" s="14" t="n">
        <x:v>120</x:v>
      </x:c>
      <x:c r="F8" s="14" t="n">
        <x:v>20</x:v>
      </x:c>
      <x:c r="G8" s="14" t="n">
        <x:v>0</x:v>
      </x:c>
      <x:c r="H8" s="14" t="n">
        <x:v>25</x:v>
      </x:c>
      <x:c r="I8" s="14" t="n">
        <x:v>0</x:v>
      </x:c>
      <x:c r="J8" s="14" t="n">
        <x:v>1</x:v>
      </x:c>
      <x:c r="K8" s="14" t="n">
        <x:v>1</x:v>
      </x:c>
      <x:c r="L8" s="14" t="n">
        <x:f>J8*K8</x:f>
        <x:v>1</x:v>
      </x:c>
      <x:c r="M8" s="14" t="n">
        <x:v>650</x:v>
      </x:c>
      <x:c r="N8" s="12" t="str">
        <x:v>Project 1</x:v>
      </x:c>
      <x:c r="O8" s="15" t="str">
        <x:v>Mid-tier compact income</x:v>
      </x:c>
      <x:c r="P8" s="14" t="n">
        <x:f>IF(E8-F8&gt;0,D8/(E8-F8),"")</x:f>
        <x:v>60</x:v>
      </x:c>
      <x:c r="Q8" s="14" t="n">
        <x:f>IF(H8&gt;0,E8/H8,"")</x:f>
        <x:v>4.8</x:v>
      </x:c>
      <x:c r="R8" s="14" t="n">
        <x:f>IF(L8&gt;0,E8/L8,"")</x:f>
        <x:v>120</x:v>
      </x:c>
      <x:c r="S8" s="14" t="n">
        <x:f>IF(D8&gt;0,M8/D8,"")</x:f>
        <x:v>0.10833333333333334</x:v>
      </x:c>
    </x:row>
    <x:row r="9" ht="16.5" customHeight="1">
      <x:c r="A9" s="13" t="str">
        <x:v>tower</x:v>
      </x:c>
      <x:c r="B9" s="12" t="str">
        <x:v>Apartment Tower</x:v>
      </x:c>
      <x:c r="C9" s="12" t="str">
        <x:v>Residential</x:v>
      </x:c>
      <x:c r="D9" s="14" t="n">
        <x:v>8000</x:v>
      </x:c>
      <x:c r="E9" s="14" t="n">
        <x:v>0</x:v>
      </x:c>
      <x:c r="F9" s="14" t="n">
        <x:v>40</x:v>
      </x:c>
      <x:c r="G9" s="14" t="n">
        <x:v>80</x:v>
      </x:c>
      <x:c r="H9" s="14" t="n">
        <x:v>0</x:v>
      </x:c>
      <x:c r="I9" s="14" t="n">
        <x:v>0</x:v>
      </x:c>
      <x:c r="J9" s="14" t="n">
        <x:v>2</x:v>
      </x:c>
      <x:c r="K9" s="14" t="n">
        <x:v>2</x:v>
      </x:c>
      <x:c r="L9" s="14" t="n">
        <x:f>J9*K9</x:f>
        <x:v>4</x:v>
      </x:c>
      <x:c r="M9" s="14" t="n">
        <x:v>1000</x:v>
      </x:c>
      <x:c r="N9" s="12" t="str">
        <x:v>Project 1</x:v>
      </x:c>
      <x:c r="O9" s="15" t="str">
        <x:v>Dense housing</x:v>
      </x:c>
      <x:c r="P9" s="14" t="str">
        <x:f>IF(E9-F9&gt;0,D9/(E9-F9),"")</x:f>
      </x:c>
      <x:c r="Q9" s="14" t="str">
        <x:f>IF(H9&gt;0,E9/H9,"")</x:f>
      </x:c>
      <x:c r="R9" s="14" t="n">
        <x:f>IF(L9&gt;0,E9/L9,"")</x:f>
        <x:v>0</x:v>
      </x:c>
      <x:c r="S9" s="14" t="n">
        <x:f>IF(D9&gt;0,M9/D9,"")</x:f>
        <x:v>0.125</x:v>
      </x:c>
    </x:row>
    <x:row r="10" ht="16.5" customHeight="1">
      <x:c r="A10" s="13" t="str">
        <x:v>hospital</x:v>
      </x:c>
      <x:c r="B10" s="12" t="str">
        <x:v>Hospital</x:v>
      </x:c>
      <x:c r="C10" s="12" t="str">
        <x:v>Leisure</x:v>
      </x:c>
      <x:c r="D10" s="14" t="n">
        <x:v>10000</x:v>
      </x:c>
      <x:c r="E10" s="14" t="n">
        <x:v>0</x:v>
      </x:c>
      <x:c r="F10" s="14" t="n">
        <x:v>55</x:v>
      </x:c>
      <x:c r="G10" s="14" t="n">
        <x:v>0</x:v>
      </x:c>
      <x:c r="H10" s="14" t="n">
        <x:v>0</x:v>
      </x:c>
      <x:c r="I10" s="14" t="n">
        <x:v>120</x:v>
      </x:c>
      <x:c r="J10" s="14" t="n">
        <x:v>1</x:v>
      </x:c>
      <x:c r="K10" s="14" t="n">
        <x:v>1</x:v>
      </x:c>
      <x:c r="L10" s="14" t="n">
        <x:f>J10*K10</x:f>
        <x:v>1</x:v>
      </x:c>
      <x:c r="M10" s="14" t="n">
        <x:v>1200</x:v>
      </x:c>
      <x:c r="N10" s="12" t="str">
        <x:v>Project 2</x:v>
      </x:c>
      <x:c r="O10" s="15" t="str">
        <x:v>High upkeep civic coverage</x:v>
      </x:c>
      <x:c r="P10" s="14" t="str">
        <x:f>IF(E10-F10&gt;0,D10/(E10-F10),"")</x:f>
      </x:c>
      <x:c r="Q10" s="14" t="str">
        <x:f>IF(H10&gt;0,E10/H10,"")</x:f>
      </x:c>
      <x:c r="R10" s="14" t="n">
        <x:f>IF(L10&gt;0,E10/L10,"")</x:f>
        <x:v>0</x:v>
      </x:c>
      <x:c r="S10" s="14" t="n">
        <x:f>IF(D10&gt;0,M10/D10,"")</x:f>
        <x:v>0.12</x:v>
      </x:c>
    </x:row>
    <x:row r="11" ht="16.5" customHeight="1">
      <x:c r="A11" s="13" t="str">
        <x:v>school</x:v>
      </x:c>
      <x:c r="B11" s="12" t="str">
        <x:v>School</x:v>
      </x:c>
      <x:c r="C11" s="12" t="str">
        <x:v>Leisure</x:v>
      </x:c>
      <x:c r="D11" s="14" t="n">
        <x:v>6000</x:v>
      </x:c>
      <x:c r="E11" s="14" t="n">
        <x:v>0</x:v>
      </x:c>
      <x:c r="F11" s="14" t="n">
        <x:v>25</x:v>
      </x:c>
      <x:c r="G11" s="14" t="n">
        <x:v>0</x:v>
      </x:c>
      <x:c r="H11" s="14" t="n">
        <x:v>0</x:v>
      </x:c>
      <x:c r="I11" s="14" t="n">
        <x:v>70</x:v>
      </x:c>
      <x:c r="J11" s="14" t="n">
        <x:v>1</x:v>
      </x:c>
      <x:c r="K11" s="14" t="n">
        <x:v>1</x:v>
      </x:c>
      <x:c r="L11" s="14" t="n">
        <x:f>J11*K11</x:f>
        <x:v>1</x:v>
      </x:c>
      <x:c r="M11" s="14" t="n">
        <x:v>650</x:v>
      </x:c>
      <x:c r="N11" s="12" t="str">
        <x:v>Project 1</x:v>
      </x:c>
      <x:c r="O11" s="15" t="str">
        <x:v>Mid-tier happiness support</x:v>
      </x:c>
      <x:c r="P11" s="14" t="str">
        <x:f>IF(E11-F11&gt;0,D11/(E11-F11),"")</x:f>
      </x:c>
      <x:c r="Q11" s="14" t="str">
        <x:f>IF(H11&gt;0,E11/H11,"")</x:f>
      </x:c>
      <x:c r="R11" s="14" t="n">
        <x:f>IF(L11&gt;0,E11/L11,"")</x:f>
        <x:v>0</x:v>
      </x:c>
      <x:c r="S11" s="14" t="n">
        <x:f>IF(D11&gt;0,M11/D11,"")</x:f>
        <x:v>0.10833333333333334</x:v>
      </x:c>
    </x:row>
    <x:row r="12" ht="16.5" customHeight="1">
      <x:c r="A12" s="13" t="str">
        <x:v>finance</x:v>
      </x:c>
      <x:c r="B12" s="12" t="str">
        <x:v>Finance Center</x:v>
      </x:c>
      <x:c r="C12" s="12" t="str">
        <x:v>Workplace</x:v>
      </x:c>
      <x:c r="D12" s="14" t="n">
        <x:v>18000</x:v>
      </x:c>
      <x:c r="E12" s="14" t="n">
        <x:v>420</x:v>
      </x:c>
      <x:c r="F12" s="14" t="n">
        <x:v>85</x:v>
      </x:c>
      <x:c r="G12" s="14" t="n">
        <x:v>0</x:v>
      </x:c>
      <x:c r="H12" s="14" t="n">
        <x:v>70</x:v>
      </x:c>
      <x:c r="I12" s="14" t="n">
        <x:v>0</x:v>
      </x:c>
      <x:c r="J12" s="14" t="n">
        <x:v>2</x:v>
      </x:c>
      <x:c r="K12" s="14" t="n">
        <x:v>2</x:v>
      </x:c>
      <x:c r="L12" s="14" t="n">
        <x:f>J12*K12</x:f>
        <x:v>4</x:v>
      </x:c>
      <x:c r="M12" s="14" t="n">
        <x:v>2200</x:v>
      </x:c>
      <x:c r="N12" s="12" t="str">
        <x:v>Project 3</x:v>
      </x:c>
      <x:c r="O12" s="15" t="str">
        <x:v>Late high-output employer</x:v>
      </x:c>
      <x:c r="P12" s="14" t="n">
        <x:f>IF(E12-F12&gt;0,D12/(E12-F12),"")</x:f>
        <x:v>53.73134328358209</x:v>
      </x:c>
      <x:c r="Q12" s="14" t="n">
        <x:f>IF(H12&gt;0,E12/H12,"")</x:f>
        <x:v>6</x:v>
      </x:c>
      <x:c r="R12" s="14" t="n">
        <x:f>IF(L12&gt;0,E12/L12,"")</x:f>
        <x:v>105</x:v>
      </x:c>
      <x:c r="S12" s="14" t="n">
        <x:f>IF(D12&gt;0,M12/D12,"")</x:f>
        <x:v>0.12222222222222222</x:v>
      </x:c>
    </x:row>
    <x:row r="13" ht="16.5" customHeight="1">
      <x:c r="A13" s="13" t="str">
        <x:v>id:888</x:v>
      </x:c>
      <x:c r="B13" s="12" t="str">
        <x:v>Office</x:v>
      </x:c>
      <x:c r="C13" s="12" t="str">
        <x:v>Workplace</x:v>
      </x:c>
      <x:c r="D13" s="14" t="n">
        <x:v>4000</x:v>
      </x:c>
      <x:c r="E13" s="14" t="n">
        <x:v>75</x:v>
      </x:c>
      <x:c r="F13" s="14" t="n">
        <x:v>12</x:v>
      </x:c>
      <x:c r="G13" s="14" t="n">
        <x:v>0</x:v>
      </x:c>
      <x:c r="H13" s="14" t="n">
        <x:v>15</x:v>
      </x:c>
      <x:c r="I13" s="14" t="n">
        <x:v>0</x:v>
      </x:c>
      <x:c r="J13" s="14" t="n">
        <x:v>1</x:v>
      </x:c>
      <x:c r="K13" s="14" t="n">
        <x:v>1</x:v>
      </x:c>
      <x:c r="L13" s="14" t="n">
        <x:f>J13*K13</x:f>
        <x:v>1</x:v>
      </x:c>
      <x:c r="M13" s="14" t="n">
        <x:v>400</x:v>
      </x:c>
      <x:c r="N13" s="12" t="str">
        <x:v>Project 1</x:v>
      </x:c>
      <x:c r="O13" s="15" t="str">
        <x:v>Flexible mid-tier job source</x:v>
      </x:c>
      <x:c r="P13" s="14" t="n">
        <x:f>IF(E13-F13&gt;0,D13/(E13-F13),"")</x:f>
        <x:v>63.492063492063494</x:v>
      </x:c>
      <x:c r="Q13" s="14" t="n">
        <x:f>IF(H13&gt;0,E13/H13,"")</x:f>
        <x:v>5</x:v>
      </x:c>
      <x:c r="R13" s="14" t="n">
        <x:f>IF(L13&gt;0,E13/L13,"")</x:f>
        <x:v>75</x:v>
      </x:c>
      <x:c r="S13" s="14" t="n">
        <x:f>IF(D13&gt;0,M13/D13,"")</x:f>
        <x:v>0.1</x:v>
      </x:c>
    </x:row>
    <x:row r="14" ht="16.5" customHeight="1">
      <x:c r="A14" s="13" t="str">
        <x:v>id:999</x:v>
      </x:c>
      <x:c r="B14" s="12" t="str">
        <x:v>Shopping Center</x:v>
      </x:c>
      <x:c r="C14" s="12" t="str">
        <x:v>Workplace</x:v>
      </x:c>
      <x:c r="D14" s="14" t="n">
        <x:v>9000</x:v>
      </x:c>
      <x:c r="E14" s="14" t="n">
        <x:v>180</x:v>
      </x:c>
      <x:c r="F14" s="14" t="n">
        <x:v>40</x:v>
      </x:c>
      <x:c r="G14" s="14" t="n">
        <x:v>0</x:v>
      </x:c>
      <x:c r="H14" s="14" t="n">
        <x:v>35</x:v>
      </x:c>
      <x:c r="I14" s="14" t="n">
        <x:v>0</x:v>
      </x:c>
      <x:c r="J14" s="14" t="n">
        <x:v>1</x:v>
      </x:c>
      <x:c r="K14" s="14" t="n">
        <x:v>1</x:v>
      </x:c>
      <x:c r="L14" s="14" t="n">
        <x:f>J14*K14</x:f>
        <x:v>1</x:v>
      </x:c>
      <x:c r="M14" s="14" t="n">
        <x:v>950</x:v>
      </x:c>
      <x:c r="N14" s="12" t="str">
        <x:v>Project 2</x:v>
      </x:c>
      <x:c r="O14" s="15" t="str">
        <x:v>Income with higher upkeep</x:v>
      </x:c>
      <x:c r="P14" s="14" t="n">
        <x:f>IF(E14-F14&gt;0,D14/(E14-F14),"")</x:f>
        <x:v>64.28571428571429</x:v>
      </x:c>
      <x:c r="Q14" s="14" t="n">
        <x:f>IF(H14&gt;0,E14/H14,"")</x:f>
        <x:v>5.142857142857143</x:v>
      </x:c>
      <x:c r="R14" s="14" t="n">
        <x:f>IF(L14&gt;0,E14/L14,"")</x:f>
        <x:v>180</x:v>
      </x:c>
      <x:c r="S14" s="14" t="n">
        <x:f>IF(D14&gt;0,M14/D14,"")</x:f>
        <x:v>0.10555555555555556</x:v>
      </x:c>
    </x:row>
    <x:row r="15" ht="16.5" customHeight="1">
      <x:c r="A15" s="13" t="str">
        <x:v>id:1010110</x:v>
      </x:c>
      <x:c r="B15" s="12" t="str">
        <x:v>Pocket Park</x:v>
      </x:c>
      <x:c r="C15" s="12" t="str">
        <x:v>Leisure</x:v>
      </x:c>
      <x:c r="D15" s="14" t="n">
        <x:v>2500</x:v>
      </x:c>
      <x:c r="E15" s="14" t="n">
        <x:v>0</x:v>
      </x:c>
      <x:c r="F15" s="14" t="n">
        <x:v>8</x:v>
      </x:c>
      <x:c r="G15" s="14" t="n">
        <x:v>0</x:v>
      </x:c>
      <x:c r="H15" s="14" t="n">
        <x:v>0</x:v>
      </x:c>
      <x:c r="I15" s="14" t="n">
        <x:v>35</x:v>
      </x:c>
      <x:c r="J15" s="14" t="n">
        <x:v>1</x:v>
      </x:c>
      <x:c r="K15" s="14" t="n">
        <x:v>1</x:v>
      </x:c>
      <x:c r="L15" s="14" t="n">
        <x:f>J15*K15</x:f>
        <x:v>1</x:v>
      </x:c>
      <x:c r="M15" s="14" t="n">
        <x:v>250</x:v>
      </x:c>
      <x:c r="N15" s="12" t="str">
        <x:v>Start</x:v>
      </x:c>
      <x:c r="O15" s="15" t="str">
        <x:v>Cheap local leisure</x:v>
      </x:c>
      <x:c r="P15" s="14" t="str">
        <x:f>IF(E15-F15&gt;0,D15/(E15-F15),"")</x:f>
      </x:c>
      <x:c r="Q15" s="14" t="str">
        <x:f>IF(H15&gt;0,E15/H15,"")</x:f>
      </x:c>
      <x:c r="R15" s="14" t="n">
        <x:f>IF(L15&gt;0,E15/L15,"")</x:f>
        <x:v>0</x:v>
      </x:c>
      <x:c r="S15" s="14" t="n">
        <x:f>IF(D15&gt;0,M15/D15,"")</x:f>
        <x:v>0.1</x:v>
      </x:c>
    </x:row>
    <x:row r="16" ht="16.5" customHeight="1">
      <x:c r="A16" s="13" t="str">
        <x:v>id:11111111</x:v>
      </x:c>
      <x:c r="B16" s="12" t="str">
        <x:v>Culture Center</x:v>
      </x:c>
      <x:c r="C16" s="12" t="str">
        <x:v>Leisure</x:v>
      </x:c>
      <x:c r="D16" s="14" t="n">
        <x:v>7000</x:v>
      </x:c>
      <x:c r="E16" s="14" t="n">
        <x:v>0</x:v>
      </x:c>
      <x:c r="F16" s="14" t="n">
        <x:v>28</x:v>
      </x:c>
      <x:c r="G16" s="14" t="n">
        <x:v>0</x:v>
      </x:c>
      <x:c r="H16" s="14" t="n">
        <x:v>0</x:v>
      </x:c>
      <x:c r="I16" s="14" t="n">
        <x:v>100</x:v>
      </x:c>
      <x:c r="J16" s="14" t="n">
        <x:v>1</x:v>
      </x:c>
      <x:c r="K16" s="14" t="n">
        <x:v>1</x:v>
      </x:c>
      <x:c r="L16" s="14" t="n">
        <x:f>J16*K16</x:f>
        <x:v>1</x:v>
      </x:c>
      <x:c r="M16" s="14" t="n">
        <x:v>750</x:v>
      </x:c>
      <x:c r="N16" s="12" t="str">
        <x:v>Project 2</x:v>
      </x:c>
      <x:c r="O16" s="15" t="str">
        <x:v>Efficient mid leisure</x:v>
      </x:c>
      <x:c r="P16" s="14" t="str">
        <x:f>IF(E16-F16&gt;0,D16/(E16-F16),"")</x:f>
      </x:c>
      <x:c r="Q16" s="14" t="str">
        <x:f>IF(H16&gt;0,E16/H16,"")</x:f>
      </x:c>
      <x:c r="R16" s="14" t="n">
        <x:f>IF(L16&gt;0,E16/L16,"")</x:f>
        <x:v>0</x:v>
      </x:c>
      <x:c r="S16" s="14" t="n">
        <x:f>IF(D16&gt;0,M16/D16,"")</x:f>
        <x:v>0.10714285714285714</x:v>
      </x:c>
    </x:row>
    <x:row r="17" ht="16.5" customHeight="1">
      <x:c r="A17" s="13" t="str">
        <x:v>id:12121212</x:v>
      </x:c>
      <x:c r="B17" s="12" t="str">
        <x:v>Stadium</x:v>
      </x:c>
      <x:c r="C17" s="12" t="str">
        <x:v>Leisure</x:v>
      </x:c>
      <x:c r="D17" s="14" t="n">
        <x:v>20000</x:v>
      </x:c>
      <x:c r="E17" s="14" t="n">
        <x:v>0</x:v>
      </x:c>
      <x:c r="F17" s="14" t="n">
        <x:v>110</x:v>
      </x:c>
      <x:c r="G17" s="14" t="n">
        <x:v>0</x:v>
      </x:c>
      <x:c r="H17" s="14" t="n">
        <x:v>0</x:v>
      </x:c>
      <x:c r="I17" s="14" t="n">
        <x:v>320</x:v>
      </x:c>
      <x:c r="J17" s="14" t="n">
        <x:v>1</x:v>
      </x:c>
      <x:c r="K17" s="14" t="n">
        <x:v>1</x:v>
      </x:c>
      <x:c r="L17" s="14" t="n">
        <x:f>J17*K17</x:f>
        <x:v>1</x:v>
      </x:c>
      <x:c r="M17" s="14" t="n">
        <x:v>2800</x:v>
      </x:c>
      <x:c r="N17" s="12" t="str">
        <x:v>Project 3</x:v>
      </x:c>
      <x:c r="O17" s="15" t="str">
        <x:v>Late city-wide leisure</x:v>
      </x:c>
      <x:c r="P17" s="14" t="str">
        <x:f>IF(E17-F17&gt;0,D17/(E17-F17),"")</x:f>
      </x:c>
      <x:c r="Q17" s="14" t="str">
        <x:f>IF(H17&gt;0,E17/H17,"")</x:f>
      </x:c>
      <x:c r="R17" s="14" t="n">
        <x:f>IF(L17&gt;0,E17/L17,"")</x:f>
        <x:v>0</x:v>
      </x:c>
      <x:c r="S17" s="14" t="n">
        <x:f>IF(D17&gt;0,M17/D17,"")</x:f>
        <x:v>0.14</x:v>
      </x:c>
    </x:row>
    <x:row r="18" ht="16.5" customHeight="1">
      <x:c r="A18" s="13" t="str">
        <x:v>id:131313131313</x:v>
      </x:c>
      <x:c r="B18" s="12" t="str">
        <x:v>Skyscraper</x:v>
      </x:c>
      <x:c r="C18" s="12" t="str">
        <x:v>Workplace</x:v>
      </x:c>
      <x:c r="D18" s="14" t="n">
        <x:v>30000</x:v>
      </x:c>
      <x:c r="E18" s="14" t="n">
        <x:v>750</x:v>
      </x:c>
      <x:c r="F18" s="14" t="n">
        <x:v>170</x:v>
      </x:c>
      <x:c r="G18" s="14" t="n">
        <x:v>0</x:v>
      </x:c>
      <x:c r="H18" s="14" t="n">
        <x:v>120</x:v>
      </x:c>
      <x:c r="I18" s="14" t="n">
        <x:v>0</x:v>
      </x:c>
      <x:c r="J18" s="14" t="n">
        <x:v>2</x:v>
      </x:c>
      <x:c r="K18" s="14" t="n">
        <x:v>2</x:v>
      </x:c>
      <x:c r="L18" s="14" t="n">
        <x:f>J18*K18</x:f>
        <x:v>4</x:v>
      </x:c>
      <x:c r="M18" s="14" t="n">
        <x:v>4200</x:v>
      </x:c>
      <x:c r="N18" s="12" t="str">
        <x:v>Project 4</x:v>
      </x:c>
      <x:c r="O18" s="15" t="str">
        <x:v>Late landmark employer</x:v>
      </x:c>
      <x:c r="P18" s="14" t="n">
        <x:f>IF(E18-F18&gt;0,D18/(E18-F18),"")</x:f>
        <x:v>51.724137931034484</x:v>
      </x:c>
      <x:c r="Q18" s="14" t="n">
        <x:f>IF(H18&gt;0,E18/H18,"")</x:f>
        <x:v>6.25</x:v>
      </x:c>
      <x:c r="R18" s="14" t="n">
        <x:f>IF(L18&gt;0,E18/L18,"")</x:f>
        <x:v>187.5</x:v>
      </x:c>
      <x:c r="S18" s="14" t="n">
        <x:f>IF(D18&gt;0,M18/D18,"")</x:f>
        <x:v>0.14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25" hidden="0" customWidth="1"/>
    <x:col min="2" max="2" width="9.380000114440918" hidden="0" customWidth="1"/>
    <x:col min="3" max="3" width="9.380000114440918" hidden="0" customWidth="1"/>
    <x:col min="4" max="4" width="33.75" hidden="0" customWidth="1"/>
    <x:col min="5" max="5" width="10.630000114440918" hidden="0" customWidth="1"/>
    <x:col min="6" max="6" width="10.630000114440918" hidden="0" customWidth="1"/>
    <x:col min="7" max="7" width="10.630000114440918" hidden="0" customWidth="1"/>
    <x:col min="8" max="8" width="10.630000114440918" hidden="0" customWidth="1"/>
    <x:col min="9" max="9" width="10.630000114440918" hidden="0" customWidth="1"/>
    <x:col min="10" max="10" width="10.630000114440918" hidden="0" customWidth="1"/>
    <x:col min="11" max="11" width="10.630000114440918" hidden="0" customWidth="1"/>
    <x:col min="12" max="12" width="10.630000114440918" hidden="0" customWidth="1"/>
    <x:col min="13" max="13" width="10.630000114440918" hidden="0" customWidth="1"/>
    <x:col min="14" max="14" width="10.630000114440918" hidden="0" customWidth="1"/>
    <x:col min="15" max="15" width="10.630000114440918" hidden="0" customWidth="1"/>
    <x:col min="16" max="16" width="10.630000114440918" hidden="0" customWidth="1"/>
    <x:col min="17" max="17" width="10.630000114440918" hidden="0" customWidth="1"/>
    <x:col min="18" max="18" width="10.630000114440918" hidden="0" customWidth="1"/>
  </x:cols>
  <x:sheetData>
    <x:row r="1" ht="18" customHeight="1">
      <x:c r="A1" s="20" t="str">
        <x:v>Target session curve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</x:row>
    <x:row r="2" ht="18" customHeight="1">
      <x:c r="A2" s="22" t="str">
        <x:v>H0 targets for a 25-35 minute first completion.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</x:row>
    <x:row r="3" ht="16.5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</x:row>
    <x:row r="4" ht="28.5" customHeight="1">
      <x:c r="A4" s="8" t="str">
        <x:v>Phase</x:v>
      </x:c>
      <x:c r="B4" s="8" t="str">
        <x:v>Start min</x:v>
      </x:c>
      <x:c r="C4" s="8" t="str">
        <x:v>End min</x:v>
      </x:c>
      <x:c r="D4" s="8" t="str">
        <x:v>Player goal</x:v>
      </x:c>
      <x:c r="E4" s="8" t="str">
        <x:v>Cash min</x:v>
      </x:c>
      <x:c r="F4" s="8" t="str">
        <x:v>Cash max</x:v>
      </x:c>
      <x:c r="G4" s="8" t="str">
        <x:v>Debt min</x:v>
      </x:c>
      <x:c r="H4" s="8" t="str">
        <x:v>Debt max</x:v>
      </x:c>
      <x:c r="I4" s="8" t="str">
        <x:v>Prod min</x:v>
      </x:c>
      <x:c r="J4" s="8" t="str">
        <x:v>Prod max</x:v>
      </x:c>
      <x:c r="K4" s="8" t="str">
        <x:v>Maint min</x:v>
      </x:c>
      <x:c r="L4" s="8" t="str">
        <x:v>Maint max</x:v>
      </x:c>
      <x:c r="M4" s="8" t="str">
        <x:v>Pop min</x:v>
      </x:c>
      <x:c r="N4" s="8" t="str">
        <x:v>Pop max</x:v>
      </x:c>
      <x:c r="O4" s="8" t="str">
        <x:v>Jobs min</x:v>
      </x:c>
      <x:c r="P4" s="8" t="str">
        <x:v>Jobs max</x:v>
      </x:c>
      <x:c r="Q4" s="8" t="str">
        <x:v>Happiness min</x:v>
      </x:c>
      <x:c r="R4" s="8" t="str">
        <x:v>Happiness max</x:v>
      </x:c>
    </x:row>
    <x:row r="5" ht="33" customHeight="1">
      <x:c r="A5" s="12" t="str">
        <x:v>EARLY</x:v>
      </x:c>
      <x:c r="B5" s="12" t="n">
        <x:v>0</x:v>
      </x:c>
      <x:c r="C5" s="12" t="n">
        <x:v>6</x:v>
      </x:c>
      <x:c r="D5" s="15" t="str">
        <x:v>Start first sustainable block and understand debt</x:v>
      </x:c>
      <x:c r="E5" s="12" t="n">
        <x:v>0</x:v>
      </x:c>
      <x:c r="F5" s="12" t="n">
        <x:v>2000</x:v>
      </x:c>
      <x:c r="G5" s="12" t="n">
        <x:v>0</x:v>
      </x:c>
      <x:c r="H5" s="12" t="n">
        <x:v>2000</x:v>
      </x:c>
      <x:c r="I5" s="12" t="n">
        <x:v>20</x:v>
      </x:c>
      <x:c r="J5" s="12" t="n">
        <x:v>80</x:v>
      </x:c>
      <x:c r="K5" s="12" t="n">
        <x:v>5</x:v>
      </x:c>
      <x:c r="L5" s="12" t="n">
        <x:v>20</x:v>
      </x:c>
      <x:c r="M5" s="12" t="n">
        <x:v>5</x:v>
      </x:c>
      <x:c r="N5" s="12" t="n">
        <x:v>25</x:v>
      </x:c>
      <x:c r="O5" s="12" t="n">
        <x:v>10</x:v>
      </x:c>
      <x:c r="P5" s="12" t="n">
        <x:v>30</x:v>
      </x:c>
      <x:c r="Q5" s="12" t="n">
        <x:v>55</x:v>
      </x:c>
      <x:c r="R5" s="12" t="n">
        <x:v>100</x:v>
      </x:c>
    </x:row>
    <x:row r="6" ht="33" customHeight="1">
      <x:c r="A6" s="12" t="str">
        <x:v>MID</x:v>
      </x:c>
      <x:c r="B6" s="12" t="n">
        <x:v>6</x:v>
      </x:c>
      <x:c r="C6" s="12" t="n">
        <x:v>16</x:v>
      </x:c>
      <x:c r="D6" s="15" t="str">
        <x:v>Diversify city and complete first projects</x:v>
      </x:c>
      <x:c r="E6" s="12" t="n">
        <x:v>1000</x:v>
      </x:c>
      <x:c r="F6" s="12" t="n">
        <x:v>8000</x:v>
      </x:c>
      <x:c r="G6" s="12" t="n">
        <x:v>1000</x:v>
      </x:c>
      <x:c r="H6" s="12" t="n">
        <x:v>15000</x:v>
      </x:c>
      <x:c r="I6" s="12" t="n">
        <x:v>100</x:v>
      </x:c>
      <x:c r="J6" s="12" t="n">
        <x:v>450</x:v>
      </x:c>
      <x:c r="K6" s="12" t="n">
        <x:v>30</x:v>
      </x:c>
      <x:c r="L6" s="12" t="n">
        <x:v>140</x:v>
      </x:c>
      <x:c r="M6" s="12" t="n">
        <x:v>30</x:v>
      </x:c>
      <x:c r="N6" s="12" t="n">
        <x:v>100</x:v>
      </x:c>
      <x:c r="O6" s="12" t="n">
        <x:v>30</x:v>
      </x:c>
      <x:c r="P6" s="12" t="n">
        <x:v>120</x:v>
      </x:c>
      <x:c r="Q6" s="12" t="n">
        <x:v>60</x:v>
      </x:c>
      <x:c r="R6" s="12" t="n">
        <x:v>90</x:v>
      </x:c>
    </x:row>
    <x:row r="7" ht="33" customHeight="1">
      <x:c r="A7" s="12" t="str">
        <x:v>LATE</x:v>
      </x:c>
      <x:c r="B7" s="12" t="n">
        <x:v>16</x:v>
      </x:c>
      <x:c r="C7" s="12" t="n">
        <x:v>28</x:v>
      </x:c>
      <x:c r="D7" s="15" t="str">
        <x:v>Use large buildings and stabilize leveraged growth</x:v>
      </x:c>
      <x:c r="E7" s="12" t="n">
        <x:v>5000</x:v>
      </x:c>
      <x:c r="F7" s="12" t="n">
        <x:v>30000</x:v>
      </x:c>
      <x:c r="G7" s="12" t="n">
        <x:v>5000</x:v>
      </x:c>
      <x:c r="H7" s="12" t="n">
        <x:v>60000</x:v>
      </x:c>
      <x:c r="I7" s="12" t="n">
        <x:v>500</x:v>
      </x:c>
      <x:c r="J7" s="12" t="n">
        <x:v>1800</x:v>
      </x:c>
      <x:c r="K7" s="12" t="n">
        <x:v>150</x:v>
      </x:c>
      <x:c r="L7" s="12" t="n">
        <x:v>650</x:v>
      </x:c>
      <x:c r="M7" s="12" t="n">
        <x:v>100</x:v>
      </x:c>
      <x:c r="N7" s="12" t="n">
        <x:v>300</x:v>
      </x:c>
      <x:c r="O7" s="12" t="n">
        <x:v>100</x:v>
      </x:c>
      <x:c r="P7" s="12" t="n">
        <x:v>340</x:v>
      </x:c>
      <x:c r="Q7" s="12" t="n">
        <x:v>70</x:v>
      </x:c>
      <x:c r="R7" s="12" t="n">
        <x:v>95</x:v>
      </x:c>
    </x:row>
    <x:row r="8" ht="33" customHeight="1">
      <x:c r="A8" s="12" t="str">
        <x:v>END</x:v>
      </x:c>
      <x:c r="B8" s="12" t="n">
        <x:v>28</x:v>
      </x:c>
      <x:c r="C8" s="12" t="n">
        <x:v>35</x:v>
      </x:c>
      <x:c r="D8" s="15" t="str">
        <x:v>Meet final project conditions and finish</x:v>
      </x:c>
      <x:c r="E8" s="12" t="n">
        <x:v>15000</x:v>
      </x:c>
      <x:c r="F8" s="12" t="n">
        <x:v>80000</x:v>
      </x:c>
      <x:c r="G8" s="12" t="n">
        <x:v>0</x:v>
      </x:c>
      <x:c r="H8" s="12" t="n">
        <x:v>100000</x:v>
      </x:c>
      <x:c r="I8" s="12" t="n">
        <x:v>1500</x:v>
      </x:c>
      <x:c r="J8" s="12" t="n">
        <x:v>4000</x:v>
      </x:c>
      <x:c r="K8" s="12" t="n">
        <x:v>400</x:v>
      </x:c>
      <x:c r="L8" s="12" t="n">
        <x:v>1400</x:v>
      </x:c>
      <x:c r="M8" s="12" t="n">
        <x:v>250</x:v>
      </x:c>
      <x:c r="N8" s="12" t="n">
        <x:v>500</x:v>
      </x:c>
      <x:c r="O8" s="12" t="n">
        <x:v>250</x:v>
      </x:c>
      <x:c r="P8" s="12" t="n">
        <x:v>560</x:v>
      </x:c>
      <x:c r="Q8" s="12" t="n">
        <x:v>75</x:v>
      </x:c>
      <x:c r="R8" s="12" t="n">
        <x:v>100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.5" hidden="0" customWidth="1"/>
    <x:col min="2" max="2" width="18.75" hidden="0" customWidth="1"/>
    <x:col min="3" max="3" width="45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23.75" hidden="0" customWidth="1"/>
    <x:col min="8" max="8" width="23.75" hidden="0" customWidth="1"/>
  </x:cols>
  <x:sheetData>
    <x:row r="1" ht="18" customHeight="1">
      <x:c r="A1" s="20" t="str">
        <x:v>H0 project chain</x:v>
      </x:c>
      <x:c r="B1" s="21"/>
      <x:c r="C1" s="21"/>
      <x:c r="D1" s="21"/>
      <x:c r="E1" s="21"/>
      <x:c r="F1" s="21"/>
      <x:c r="G1" s="21"/>
      <x:c r="H1" s="21"/>
    </x:row>
    <x:row r="2" ht="18" customHeight="1">
      <x:c r="A2" s="22" t="str">
        <x:v>Project conditions connect existing economy, population, employment and happiness systems.</x:v>
      </x:c>
      <x:c r="B2" s="21"/>
      <x:c r="C2" s="21"/>
      <x:c r="D2" s="21"/>
      <x:c r="E2" s="21"/>
      <x:c r="F2" s="21"/>
      <x:c r="G2" s="21"/>
      <x:c r="H2" s="21"/>
    </x:row>
    <x:row r="3" ht="16.5" customHeight="1">
      <x:c r="A3" s="23"/>
      <x:c r="B3" s="23"/>
      <x:c r="C3" s="23"/>
      <x:c r="D3" s="23"/>
      <x:c r="E3" s="23"/>
      <x:c r="F3" s="23"/>
      <x:c r="G3" s="23"/>
      <x:c r="H3" s="23"/>
    </x:row>
    <x:row r="4" ht="28.5" customHeight="1">
      <x:c r="A4" s="8" t="str">
        <x:v>Order</x:v>
      </x:c>
      <x:c r="B4" s="8" t="str">
        <x:v>Project</x:v>
      </x:c>
      <x:c r="C4" s="8" t="str">
        <x:v>Requirements H0</x:v>
      </x:c>
      <x:c r="D4" s="8" t="str">
        <x:v>Cost</x:v>
      </x:c>
      <x:c r="E4" s="8" t="str">
        <x:v>Cash Reward</x:v>
      </x:c>
      <x:c r="F4" s="8" t="str">
        <x:v>City Value Reward</x:v>
      </x:c>
      <x:c r="G4" s="8" t="str">
        <x:v>Unlocks</x:v>
      </x:c>
      <x:c r="H4" s="8" t="str">
        <x:v>Design purpose</x:v>
      </x:c>
    </x:row>
    <x:row r="5" ht="48" customHeight="1">
      <x:c r="A5" s="12" t="n">
        <x:v>1</x:v>
      </x:c>
      <x:c r="B5" s="15" t="str">
        <x:v>First District</x:v>
      </x:c>
      <x:c r="C5" s="15" t="str">
        <x:v>2 Small House; 2 Workshop; Population 20; Employment &gt;= 70%</x:v>
      </x:c>
      <x:c r="D5" s="15" t="n">
        <x:v>1500</x:v>
      </x:c>
      <x:c r="E5" s="15" t="n">
        <x:v>1200</x:v>
      </x:c>
      <x:c r="F5" s="15" t="n">
        <x:v>400</x:v>
      </x:c>
      <x:c r="G5" s="15" t="str">
        <x:v>Office, School</x:v>
      </x:c>
      <x:c r="H5" s="15" t="str">
        <x:v>Early systems connected</x:v>
      </x:c>
    </x:row>
    <x:row r="6" ht="48" customHeight="1">
      <x:c r="A6" s="12" t="n">
        <x:v>2</x:v>
      </x:c>
      <x:c r="B6" s="15" t="str">
        <x:v>Industrial District</x:v>
      </x:c>
      <x:c r="C6" s="15" t="str">
        <x:v>3 Workshop; 1 Office; Population 50; Employment &gt;= 75%; City Value 2500</x:v>
      </x:c>
      <x:c r="D6" s="15" t="n">
        <x:v>5000</x:v>
      </x:c>
      <x:c r="E6" s="15" t="n">
        <x:v>4000</x:v>
      </x:c>
      <x:c r="F6" s="15" t="n">
        <x:v>900</x:v>
      </x:c>
      <x:c r="G6" s="15" t="str">
        <x:v>Apartment Tower, Shopping Center</x:v>
      </x:c>
      <x:c r="H6" s="15" t="str">
        <x:v>First meaningful leverage test</x:v>
      </x:c>
    </x:row>
    <x:row r="7" ht="48" customHeight="1">
      <x:c r="A7" s="12" t="n">
        <x:v>3</x:v>
      </x:c>
      <x:c r="B7" s="15" t="str">
        <x:v>Civic Expansion</x:v>
      </x:c>
      <x:c r="C7" s="15" t="str">
        <x:v>1 School; 1 Pocket Park; Population 100; Happiness &gt;= 70</x:v>
      </x:c>
      <x:c r="D7" s="15" t="n">
        <x:v>12000</x:v>
      </x:c>
      <x:c r="E7" s="15" t="n">
        <x:v>9000</x:v>
      </x:c>
      <x:c r="F7" s="15" t="n">
        <x:v>1800</x:v>
      </x:c>
      <x:c r="G7" s="15" t="str">
        <x:v>Hospital, Culture Center</x:v>
      </x:c>
      <x:c r="H7" s="15" t="str">
        <x:v>Leisure becomes mandatory</x:v>
      </x:c>
    </x:row>
    <x:row r="8" ht="48" customHeight="1">
      <x:c r="A8" s="12" t="n">
        <x:v>4</x:v>
      </x:c>
      <x:c r="B8" s="15" t="str">
        <x:v>Financial Center</x:v>
      </x:c>
      <x:c r="C8" s="15" t="str">
        <x:v>1 Commercial Bank; 1 Finance Center; Population 200; Employment &gt;= 85%; Happiness &gt;= 75</x:v>
      </x:c>
      <x:c r="D8" s="15" t="n">
        <x:v>30000</x:v>
      </x:c>
      <x:c r="E8" s="15" t="n">
        <x:v>22000</x:v>
      </x:c>
      <x:c r="F8" s="15" t="n">
        <x:v>3500</x:v>
      </x:c>
      <x:c r="G8" s="15" t="str">
        <x:v>Stadium, Skyscraper</x:v>
      </x:c>
      <x:c r="H8" s="15" t="str">
        <x:v>Late economy and workforce check</x:v>
      </x:c>
    </x:row>
    <x:row r="9" ht="48" customHeight="1">
      <x:c r="A9" s="12" t="n">
        <x:v>5</x:v>
      </x:c>
      <x:c r="B9" s="15" t="str">
        <x:v>Metropolitan Landmark</x:v>
      </x:c>
      <x:c r="C9" s="15" t="str">
        <x:v>All prior projects; Population 350; Employment &gt;= 85%; Happiness &gt;= 80%; positive capacity for 60s</x:v>
      </x:c>
      <x:c r="D9" s="15" t="n">
        <x:v>80000</x:v>
      </x:c>
      <x:c r="E9" s="15" t="n">
        <x:v>0</x:v>
      </x:c>
      <x:c r="F9" s="15" t="n">
        <x:v>10000</x:v>
      </x:c>
      <x:c r="G9" s="15" t="str">
        <x:v>Victory</x:v>
      </x:c>
      <x:c r="H9" s="15" t="str">
        <x:v>Debt allowed; sustainable operation required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.75" hidden="0" customWidth="1"/>
    <x:col min="2" max="2" width="13.75" hidden="0" customWidth="1"/>
    <x:col min="3" max="3" width="19.3799991607666" hidden="0" customWidth="1"/>
    <x:col min="4" max="4" width="41.25" hidden="0" customWidth="1"/>
  </x:cols>
  <x:sheetData>
    <x:row r="1" ht="18" customHeight="1">
      <x:c r="A1" s="20" t="str">
        <x:v>Economy and quality H0</x:v>
      </x:c>
      <x:c r="B1" s="21"/>
      <x:c r="C1" s="21"/>
      <x:c r="D1" s="21"/>
    </x:row>
    <x:row r="2" ht="18" customHeight="1">
      <x:c r="A2" s="22" t="str">
        <x:v>Editable simulation assumptions. Values are hypotheses, not applied runtime data.</x:v>
      </x:c>
      <x:c r="B2" s="21"/>
      <x:c r="C2" s="21"/>
      <x:c r="D2" s="21"/>
    </x:row>
    <x:row r="3" ht="16.5" customHeight="1">
      <x:c r="A3" s="23"/>
      <x:c r="B3" s="23"/>
      <x:c r="C3" s="23"/>
      <x:c r="D3" s="23"/>
    </x:row>
    <x:row r="4" ht="28.5" customHeight="1">
      <x:c r="A4" s="8" t="str">
        <x:v>Assumption</x:v>
      </x:c>
      <x:c r="B4" s="8" t="str">
        <x:v>H0 value</x:v>
      </x:c>
      <x:c r="C4" s="8" t="str">
        <x:v>Unit</x:v>
      </x:c>
      <x:c r="D4" s="8" t="str">
        <x:v>Reason</x:v>
      </x:c>
    </x:row>
    <x:row r="5" ht="16.5" customHeight="1">
      <x:c r="A5" s="12" t="str">
        <x:v>Target first-run duration</x:v>
      </x:c>
      <x:c r="B5" s="12" t="n">
        <x:v>30</x:v>
      </x:c>
      <x:c r="C5" s="12" t="str">
        <x:v>minutes</x:v>
      </x:c>
      <x:c r="D5" s="15" t="str">
        <x:v>H0 midpoint; acceptable 25-35</x:v>
      </x:c>
    </x:row>
    <x:row r="6" ht="16.5" customHeight="1">
      <x:c r="A6" s="12" t="str">
        <x:v>Experienced duration</x:v>
      </x:c>
      <x:c r="B6" s="12" t="n">
        <x:v>20</x:v>
      </x:c>
      <x:c r="C6" s="12" t="str">
        <x:v>minutes</x:v>
      </x:c>
      <x:c r="D6" s="15" t="str">
        <x:v>H0 midpoint; acceptable 15-25</x:v>
      </x:c>
    </x:row>
    <x:row r="7" ht="16.5" customHeight="1">
      <x:c r="A7" s="12" t="str">
        <x:v>Economy tick</x:v>
      </x:c>
      <x:c r="B7" s="12" t="n">
        <x:v>0.5</x:v>
      </x:c>
      <x:c r="C7" s="12" t="str">
        <x:v>seconds</x:v>
      </x:c>
      <x:c r="D7" s="15" t="str">
        <x:v>Keep current</x:v>
      </x:c>
    </x:row>
    <x:row r="8" ht="16.5" customHeight="1">
      <x:c r="A8" s="12" t="str">
        <x:v>Starting interest rate</x:v>
      </x:c>
      <x:c r="B8" s="16" t="n">
        <x:v>0.00015</x:v>
      </x:c>
      <x:c r="C8" s="12" t="str">
        <x:v>per second</x:v>
      </x:c>
      <x:c r="D8" s="15" t="str">
        <x:v>0.015%/s H0; simulate before asset change</x:v>
      </x:c>
    </x:row>
    <x:row r="9" ht="16.5" customHeight="1">
      <x:c r="A9" s="12" t="str">
        <x:v>Minimum interest rate</x:v>
      </x:c>
      <x:c r="B9" s="16" t="n">
        <x:v>0.00005</x:v>
      </x:c>
      <x:c r="C9" s="12" t="str">
        <x:v>per second</x:v>
      </x:c>
      <x:c r="D9" s="15" t="str">
        <x:v>0.005%/s H0</x:v>
      </x:c>
    </x:row>
    <x:row r="10" ht="16.5" customHeight="1">
      <x:c r="A10" s="12" t="str">
        <x:v>Maximum interest rate</x:v>
      </x:c>
      <x:c r="B10" s="16" t="n">
        <x:v>0.003</x:v>
      </x:c>
      <x:c r="C10" s="12" t="str">
        <x:v>per second</x:v>
      </x:c>
      <x:c r="D10" s="15" t="str">
        <x:v>0.3%/s H0</x:v>
      </x:c>
    </x:row>
    <x:row r="11" ht="16.5" customHeight="1">
      <x:c r="A11" s="12" t="str">
        <x:v>Debt rate coefficient</x:v>
      </x:c>
      <x:c r="B11" s="16" t="n">
        <x:v>5e-8</x:v>
      </x:c>
      <x:c r="C11" s="12" t="str">
        <x:v>rate per debt unit</x:v>
      </x:c>
      <x:c r="D11" s="15" t="str">
        <x:v>Scales gently with absolute debt</x:v>
      </x:c>
    </x:row>
    <x:row r="12" ht="16.5" customHeight="1">
      <x:c r="A12" s="12" t="str">
        <x:v>Recent borrowing coefficient</x:v>
      </x:c>
      <x:c r="B12" s="16" t="n">
        <x:v>1.5e-7</x:v>
      </x:c>
      <x:c r="C12" s="12" t="str">
        <x:v>rate per new debt unit</x:v>
      </x:c>
      <x:c r="D12" s="15" t="str">
        <x:v>Temporary pressure H0</x:v>
      </x:c>
    </x:row>
    <x:row r="13" ht="16.5" customHeight="1">
      <x:c r="A13" s="12" t="str">
        <x:v>Bankruptcy countdown</x:v>
      </x:c>
      <x:c r="B13" s="12" t="n">
        <x:v>20</x:v>
      </x:c>
      <x:c r="C13" s="12" t="str">
        <x:v>seconds</x:v>
      </x:c>
      <x:c r="D13" s="15" t="str">
        <x:v>Keep current for first simulation</x:v>
      </x:c>
    </x:row>
    <x:row r="14" ht="16.5" customHeight="1">
      <x:c r="A14" s="12" t="str">
        <x:v>Normal quality probability</x:v>
      </x:c>
      <x:c r="B14" s="17" t="n">
        <x:v>0.7</x:v>
      </x:c>
      <x:c r="C14" s="12" t="str">
        <x:v>share</x:v>
      </x:c>
      <x:c r="D14" s="15" t="str">
        <x:v>H0</x:v>
      </x:c>
    </x:row>
    <x:row r="15" ht="16.5" customHeight="1">
      <x:c r="A15" s="12" t="str">
        <x:v>Silver quality probability</x:v>
      </x:c>
      <x:c r="B15" s="17" t="n">
        <x:v>0.2</x:v>
      </x:c>
      <x:c r="C15" s="12" t="str">
        <x:v>share</x:v>
      </x:c>
      <x:c r="D15" s="15" t="str">
        <x:v>H0</x:v>
      </x:c>
    </x:row>
    <x:row r="16" ht="16.5" customHeight="1">
      <x:c r="A16" s="12" t="str">
        <x:v>Gold quality probability</x:v>
      </x:c>
      <x:c r="B16" s="17" t="n">
        <x:v>0.08</x:v>
      </x:c>
      <x:c r="C16" s="12" t="str">
        <x:v>share</x:v>
      </x:c>
      <x:c r="D16" s="15" t="str">
        <x:v>H0</x:v>
      </x:c>
    </x:row>
    <x:row r="17" ht="16.5" customHeight="1">
      <x:c r="A17" s="12" t="str">
        <x:v>Rainbow quality probability</x:v>
      </x:c>
      <x:c r="B17" s="17" t="n">
        <x:v>0.02</x:v>
      </x:c>
      <x:c r="C17" s="12" t="str">
        <x:v>share</x:v>
      </x:c>
      <x:c r="D17" s="15" t="str">
        <x:v>H0</x:v>
      </x:c>
    </x:row>
    <x:row r="18" ht="16.5" customHeight="1">
      <x:c r="A18" s="12" t="str">
        <x:v>Normal production multiplier</x:v>
      </x:c>
      <x:c r="B18" s="12" t="n">
        <x:v>1</x:v>
      </x:c>
      <x:c r="C18" s="12" t="str">
        <x:v>x</x:v>
      </x:c>
      <x:c r="D18" s="15" t="str">
        <x:v>H0</x:v>
      </x:c>
    </x:row>
    <x:row r="19" ht="16.5" customHeight="1">
      <x:c r="A19" s="12" t="str">
        <x:v>Silver production multiplier</x:v>
      </x:c>
      <x:c r="B19" s="12" t="n">
        <x:v>1.35</x:v>
      </x:c>
      <x:c r="C19" s="12" t="str">
        <x:v>x</x:v>
      </x:c>
      <x:c r="D19" s="15" t="str">
        <x:v>H0</x:v>
      </x:c>
    </x:row>
    <x:row r="20" ht="16.5" customHeight="1">
      <x:c r="A20" s="12" t="str">
        <x:v>Gold production multiplier</x:v>
      </x:c>
      <x:c r="B20" s="12" t="n">
        <x:v>1.8</x:v>
      </x:c>
      <x:c r="C20" s="12" t="str">
        <x:v>x</x:v>
      </x:c>
      <x:c r="D20" s="15" t="str">
        <x:v>H0</x:v>
      </x:c>
    </x:row>
    <x:row r="21" ht="16.5" customHeight="1">
      <x:c r="A21" s="12" t="str">
        <x:v>Rainbow production multiplier</x:v>
      </x:c>
      <x:c r="B21" s="12" t="n">
        <x:v>2.5</x:v>
      </x:c>
      <x:c r="C21" s="12" t="str">
        <x:v>x</x:v>
      </x:c>
      <x:c r="D21" s="15" t="str">
        <x:v>H0</x:v>
      </x:c>
    </x:row>
    <x:row r="22" ht="16.5" customHeight="1">
      <x:c r="A22" s="12" t="str">
        <x:v>Demolition refund</x:v>
      </x:c>
      <x:c r="B22" s="17" t="n">
        <x:v>0.5</x:v>
      </x:c>
      <x:c r="C22" s="12" t="str">
        <x:v>share of construction cost</x:v>
      </x:c>
      <x:c r="D22" s="15" t="str">
        <x:v>Confirmed v1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15" hidden="0" customWidth="1"/>
    <x:col min="3" max="3" width="15" hidden="0" customWidth="1"/>
    <x:col min="4" max="4" width="42.5" hidden="0" customWidth="1"/>
  </x:cols>
  <x:sheetData>
    <x:row r="1" ht="18" customHeight="1">
      <x:c r="A1" s="20" t="str">
        <x:v>Stage 0 consistency checks</x:v>
      </x:c>
      <x:c r="B1" s="21"/>
      <x:c r="C1" s="21"/>
      <x:c r="D1" s="21"/>
    </x:row>
    <x:row r="2" ht="18" customHeight="1">
      <x:c r="A2" s="22" t="str">
        <x:v>Formula-driven checks for the baseline and H0 proposal.</x:v>
      </x:c>
      <x:c r="B2" s="21"/>
      <x:c r="C2" s="21"/>
      <x:c r="D2" s="21"/>
    </x:row>
    <x:row r="3" ht="16.5" customHeight="1">
      <x:c r="A3" s="23"/>
      <x:c r="B3" s="23"/>
      <x:c r="C3" s="23"/>
      <x:c r="D3" s="23"/>
    </x:row>
    <x:row r="4" ht="28.5" customHeight="1">
      <x:c r="A4" s="8" t="str">
        <x:v>Check</x:v>
      </x:c>
      <x:c r="B4" s="8" t="str">
        <x:v>Formula result</x:v>
      </x:c>
      <x:c r="C4" s="8" t="str">
        <x:v>Expected</x:v>
      </x:c>
      <x:c r="D4" s="8" t="str">
        <x:v>Interpretation</x:v>
      </x:c>
    </x:row>
    <x:row r="5" ht="16.5" customHeight="1">
      <x:c r="A5" s="12" t="str">
        <x:v>Current building count</x:v>
      </x:c>
      <x:c r="B5" s="12" t="n">
        <x:f>COUNTA('Current Buildings'!B5:B18)</x:f>
        <x:v>14</x:v>
      </x:c>
      <x:c r="C5" s="12" t="n">
        <x:v>14</x:v>
      </x:c>
      <x:c r="D5" s="15" t="str">
        <x:v>Source extraction completeness</x:v>
      </x:c>
    </x:row>
    <x:row r="6" ht="16.5" customHeight="1">
      <x:c r="A6" s="12" t="str">
        <x:v>H0 building count</x:v>
      </x:c>
      <x:c r="B6" s="12" t="n">
        <x:f>COUNTA('H0 Buildings'!A5:A18)</x:f>
        <x:v>14</x:v>
      </x:c>
      <x:c r="C6" s="12" t="n">
        <x:v>14</x:v>
      </x:c>
      <x:c r="D6" s="15" t="str">
        <x:v>Every current building has an H0 row</x:v>
      </x:c>
    </x:row>
    <x:row r="7" ht="16.5" customHeight="1">
      <x:c r="A7" s="12" t="str">
        <x:v>Quality probability sum</x:v>
      </x:c>
      <x:c r="B7" s="18" t="n">
        <x:f>SUM('Economy H0'!B14:B17)</x:f>
        <x:v>0.9999999999999999</x:v>
      </x:c>
      <x:c r="C7" s="18" t="n">
        <x:v>1</x:v>
      </x:c>
      <x:c r="D7" s="15" t="str">
        <x:v>Probabilities reconcile to 100%</x:v>
      </x:c>
    </x:row>
    <x:row r="8" ht="16.5" customHeight="1">
      <x:c r="A8" s="12" t="str">
        <x:v>Quality expected multiplier</x:v>
      </x:c>
      <x:c r="B8" s="18" t="n">
        <x:f>SUMPRODUCT('Economy H0'!B14:B17,'Economy H0'!B18:B21)</x:f>
        <x:v>1.164</x:v>
      </x:c>
      <x:c r="C8" s="18" t="n">
        <x:v>1.164</x:v>
      </x:c>
      <x:c r="D8" s="15" t="str">
        <x:v>Expected quality output is controlled</x:v>
      </x:c>
    </x:row>
    <x:row r="9" ht="16.5" customHeight="1">
      <x:c r="A9" s="12" t="str">
        <x:v>Workshop + Small House operating payback</x:v>
      </x:c>
      <x:c r="B9" s="19" t="n">
        <x:f>('H0 Buildings'!D6+'H0 Buildings'!D7)/(('H0 Buildings'!E7-'H0 Buildings'!F7)-'H0 Buildings'!F6)</x:f>
        <x:v>86.95652173913044</x:v>
      </x:c>
      <x:c r="C9" s="19" t="n">
        <x:v>86.96</x:v>
      </x:c>
      <x:c r="D9" s="15" t="str">
        <x:v>Early sustainable pair target is within 60-120 seconds</x:v>
      </x:c>
    </x:row>
    <x:row r="10" ht="16.5" customHeight="1">
      <x:c r="A10" s="12" t="str">
        <x:v>Final project order</x:v>
      </x:c>
      <x:c r="B10" s="19" t="n">
        <x:f>MAX('Project Chain'!A5:A9)</x:f>
        <x:v>5</x:v>
      </x:c>
      <x:c r="C10" s="19" t="n">
        <x:v>5</x:v>
      </x:c>
      <x:c r="D10" s="15" t="str">
        <x:v>Five-step project chain including final</x:v>
      </x:c>
    </x:row>
    <x:row r="11" ht="16.5" customHeight="1">
      <x:c r="A11" s="12" t="str">
        <x:v>Session target midpoint</x:v>
      </x:c>
      <x:c r="B11" s="19" t="n">
        <x:f>AVERAGE('Session Curve'!B5,'Session Curve'!C8)</x:f>
        <x:v>17.5</x:v>
      </x:c>
      <x:c r="C11" s="19" t="n">
        <x:v>17.5</x:v>
      </x:c>
      <x:c r="D11" s="15" t="str">
        <x:v>Phase midpoint reference only</x:v>
      </x:c>
    </x:row>
    <x:row r="12" ht="16.5" customHeight="1">
      <x:c r="A12" s="12" t="str">
        <x:v>Duplicate H0 names</x:v>
      </x:c>
      <x:c r="B12" s="12" t="n">
        <x:v>0</x:v>
      </x:c>
      <x:c r="C12" s="12" t="n">
        <x:v>0</x:v>
      </x:c>
      <x:c r="D12" s="15" t="str">
        <x:v>Proposed display names are unique</x:v>
      </x:c>
    </x:row>
  </x:sheetData>
  <x:mergeCells>
    <x:mergeCell ref="A1:D1"/>
    <x:mergeCell ref="A2:D2"/>
  </x:mergeCells>
  <x:pageMargins left="0.7" right="0.7" top="0.75" bottom="0.75" header="0.3" footer="0.3"/>
</x:worksheet>
</file>